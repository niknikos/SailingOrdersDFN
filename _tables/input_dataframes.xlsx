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65E99E6C-5CD4-4057-82AE-7446435D7900}" xr6:coauthVersionLast="47" xr6:coauthVersionMax="47" xr10:uidLastSave="{00000000-0000-0000-0000-000000000000}"/>
  <bookViews>
    <workbookView xWindow="-120" yWindow="-120" windowWidth="29040" windowHeight="17790" tabRatio="757" firstSheet="4" activeTab="4"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23" r:id="rId7"/>
    <sheet name="datahandovertab" sheetId="5" r:id="rId8"/>
    <sheet name="biosamplingtab" sheetId="11" r:id="rId9"/>
    <sheet name="collectedsamplestab" sheetId="6" r:id="rId10"/>
    <sheet name="matstagetab" sheetId="10" r:id="rId11"/>
    <sheet name="fatstageanchtab" sheetId="21" r:id="rId12"/>
    <sheet name="fatstagesarhtab" sheetId="22" r:id="rId13"/>
    <sheet name="acousticcattab" sheetId="18" r:id="rId14"/>
  </sheets>
  <definedNames>
    <definedName name="_xlnm._FilterDatabase" localSheetId="5" hidden="1">plannedparticipantstab!$A$1:$G$19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32" i="2" l="1"/>
  <c r="M32" i="2"/>
  <c r="L32" i="2"/>
  <c r="F32" i="2"/>
  <c r="M31" i="2"/>
  <c r="L31" i="2"/>
  <c r="F31" i="2"/>
  <c r="M30" i="2"/>
  <c r="L30" i="2"/>
  <c r="F30" i="2"/>
  <c r="L29" i="2"/>
  <c r="M29" i="2" s="1"/>
  <c r="F29" i="2"/>
  <c r="L28" i="2"/>
  <c r="M28" i="2" s="1"/>
  <c r="F28" i="2"/>
  <c r="M27" i="2"/>
  <c r="L27" i="2"/>
  <c r="F27" i="2"/>
  <c r="L26" i="2"/>
  <c r="M26" i="2" s="1"/>
  <c r="F26" i="2"/>
  <c r="M25" i="2"/>
  <c r="L25" i="2"/>
  <c r="F25" i="2"/>
  <c r="M24" i="2"/>
  <c r="L24" i="2"/>
  <c r="F24" i="2"/>
  <c r="M21" i="2"/>
  <c r="L21" i="2"/>
  <c r="M20" i="2"/>
  <c r="L20" i="2"/>
  <c r="F20" i="2"/>
  <c r="M19" i="2"/>
  <c r="L19" i="2"/>
  <c r="F19" i="2"/>
  <c r="L18" i="2"/>
  <c r="M18" i="2" s="1"/>
  <c r="F18" i="2"/>
  <c r="L17" i="2"/>
  <c r="M17" i="2" s="1"/>
  <c r="F17" i="2"/>
  <c r="M16" i="2"/>
  <c r="L16" i="2"/>
  <c r="F16" i="2"/>
  <c r="L15" i="2"/>
  <c r="M15" i="2" s="1"/>
  <c r="F15" i="2"/>
  <c r="M14" i="2"/>
  <c r="L14" i="2"/>
  <c r="N21" i="2" s="1"/>
  <c r="F14" i="2"/>
  <c r="M13" i="2"/>
  <c r="L13" i="2"/>
  <c r="F13" i="2"/>
  <c r="K33" i="2"/>
  <c r="J33" i="2"/>
  <c r="H33" i="2"/>
  <c r="G33" i="2"/>
  <c r="E33" i="2"/>
  <c r="D33" i="2"/>
  <c r="C33" i="2"/>
  <c r="K22" i="2"/>
  <c r="J22" i="2"/>
  <c r="H22" i="2"/>
  <c r="G22" i="2"/>
  <c r="E22" i="2"/>
  <c r="D22" i="2"/>
  <c r="C22" i="2"/>
  <c r="K11" i="2"/>
  <c r="J11" i="2"/>
  <c r="H11" i="2"/>
  <c r="G11" i="2"/>
  <c r="E11" i="2"/>
  <c r="D11" i="2"/>
  <c r="C11" i="2"/>
  <c r="M10" i="2"/>
  <c r="L10" i="2"/>
  <c r="F10" i="2"/>
  <c r="M9" i="2"/>
  <c r="L9" i="2"/>
  <c r="F9" i="2"/>
  <c r="M8" i="2"/>
  <c r="L8" i="2"/>
  <c r="F8" i="2"/>
  <c r="L7" i="2"/>
  <c r="M7" i="2" s="1"/>
  <c r="F7" i="2"/>
  <c r="L6" i="2"/>
  <c r="M6" i="2" s="1"/>
  <c r="F6" i="2"/>
  <c r="M5" i="2"/>
  <c r="L5" i="2"/>
  <c r="F5" i="2"/>
  <c r="L4" i="2"/>
  <c r="M4" i="2" s="1"/>
  <c r="F4" i="2"/>
  <c r="M3" i="2"/>
  <c r="L3" i="2"/>
  <c r="F3" i="2"/>
  <c r="M2" i="2"/>
  <c r="L2" i="2"/>
  <c r="F2" i="2"/>
  <c r="F33" i="2" l="1"/>
  <c r="F22" i="2"/>
  <c r="M33" i="2"/>
  <c r="L33" i="2"/>
  <c r="M22" i="2"/>
  <c r="F11" i="2"/>
  <c r="L11" i="2"/>
  <c r="M11" i="2"/>
  <c r="L22" i="2"/>
  <c r="N10" i="2"/>
</calcChain>
</file>

<file path=xl/sharedStrings.xml><?xml version="1.0" encoding="utf-8"?>
<sst xmlns="http://schemas.openxmlformats.org/spreadsheetml/2006/main" count="670" uniqueCount="426">
  <si>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</si>
  <si>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</si>
  <si>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</si>
  <si>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</si>
  <si>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</si>
  <si>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</si>
  <si>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</si>
  <si>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</si>
  <si>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</si>
  <si>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</si>
  <si>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</si>
  <si>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</si>
  <si>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</si>
  <si>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</si>
  <si>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</si>
  <si>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</si>
  <si>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addsamplingtab</t>
  </si>
  <si>
    <t>taxonomytab</t>
  </si>
  <si>
    <t>acousticcattab</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</si>
  <si>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</si>
  <si>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</si>
  <si>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</si>
  <si>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</si>
  <si>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</si>
  <si>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fatstageanchtab</t>
  </si>
  <si>
    <t>fatstagesarhtab</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</si>
  <si>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</si>
  <si>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</si>
  <si>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</si>
  <si>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</si>
  <si>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</si>
  <si>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</si>
  <si>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</si>
  <si>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</si>
  <si>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</si>
  <si>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</si>
  <si>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</si>
  <si>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Edoardo Mostarda (FAO), Stamatina Isari (IMR)</t>
  </si>
  <si>
    <t>Theme 2</t>
  </si>
  <si>
    <t>Nikolaos Nikolioudakis (IMR)</t>
  </si>
  <si>
    <t>Survey Name</t>
  </si>
  <si>
    <t>Duration in days</t>
  </si>
  <si>
    <t>Departure</t>
  </si>
  <si>
    <t>Arrival</t>
  </si>
  <si>
    <t>Port of Departure</t>
  </si>
  <si>
    <t>Port of Arrival</t>
  </si>
  <si>
    <t>Cape Town</t>
  </si>
  <si>
    <t>Leg</t>
  </si>
  <si>
    <t>Min personnel</t>
  </si>
  <si>
    <t>DFN core team</t>
  </si>
  <si>
    <t>DFN core team (IMR)</t>
  </si>
  <si>
    <t>DFN core team (non-IMR)</t>
  </si>
  <si>
    <t>Total non-IMR personnel</t>
  </si>
  <si>
    <t>Missing personnel</t>
  </si>
  <si>
    <t>Cruise leader</t>
  </si>
  <si>
    <t>Co-cruise leader</t>
  </si>
  <si>
    <t>Water chemistry</t>
  </si>
  <si>
    <t>Physical oceanography</t>
  </si>
  <si>
    <t>Plankton biology</t>
  </si>
  <si>
    <t>Fisheries biology / taxonomy</t>
  </si>
  <si>
    <t>Whale / Seabird observatory</t>
  </si>
  <si>
    <t>Instrument personnel</t>
  </si>
  <si>
    <t>LEG</t>
  </si>
  <si>
    <t>PARTICIPANT</t>
  </si>
  <si>
    <t>ROLE</t>
  </si>
  <si>
    <t>E-MAIL</t>
  </si>
  <si>
    <t>SEX</t>
  </si>
  <si>
    <t>AFFILIATION</t>
  </si>
  <si>
    <t>COUNTRY</t>
  </si>
  <si>
    <t>M</t>
  </si>
  <si>
    <t>IMR</t>
  </si>
  <si>
    <t>NORWAY</t>
  </si>
  <si>
    <t>Fish Team Leader</t>
  </si>
  <si>
    <t>F</t>
  </si>
  <si>
    <t>Chief Instruments Engineer</t>
  </si>
  <si>
    <t>Instruments Engineer</t>
  </si>
  <si>
    <t>DFFE</t>
  </si>
  <si>
    <t>Phytoplankton</t>
  </si>
  <si>
    <t>Mammals and seabirds</t>
  </si>
  <si>
    <t>Bathymetry</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</si>
  <si>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</si>
  <si>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</si>
  <si>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</si>
  <si>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</si>
  <si>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</si>
  <si>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</si>
  <si>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</si>
  <si>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</si>
  <si>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</si>
  <si>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</si>
  <si>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</si>
  <si>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</si>
  <si>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</si>
  <si>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</si>
  <si>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</si>
  <si>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</si>
  <si>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</si>
  <si>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</si>
  <si>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</si>
  <si>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</si>
  <si>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</si>
  <si>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</si>
  <si>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</si>
  <si>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</si>
  <si>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</si>
  <si>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</si>
  <si>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</si>
  <si>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</si>
  <si>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</si>
  <si>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Biology</t>
  </si>
  <si>
    <t>Trawl catch data</t>
  </si>
  <si>
    <t>Zooplankton biomass</t>
  </si>
  <si>
    <t>Pollution</t>
  </si>
  <si>
    <t>Microplastics</t>
  </si>
  <si>
    <t>Observation platforms</t>
  </si>
  <si>
    <t>VAMS</t>
  </si>
  <si>
    <t>WBAT</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</si>
  <si>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</si>
  <si>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</si>
  <si>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</si>
  <si>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</si>
  <si>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</si>
  <si>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</si>
  <si>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</si>
  <si>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</si>
  <si>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</si>
  <si>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</si>
  <si>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</si>
  <si>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</si>
  <si>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</si>
  <si>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</si>
  <si>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</si>
  <si>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</si>
  <si>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</si>
  <si>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</si>
  <si>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</si>
  <si>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</si>
  <si>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</si>
  <si>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</si>
  <si>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</si>
  <si>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</si>
  <si>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</si>
  <si>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</si>
  <si>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 xml:space="preserve">Bottles (250 mL) </t>
  </si>
  <si>
    <t>5% formaldehyde solution</t>
  </si>
  <si>
    <t>10 Lt  37% formaldehyde solution</t>
  </si>
  <si>
    <t>Trawl samples</t>
  </si>
  <si>
    <t>otoliths from sardine, anchovy and round herring for age determination studies.</t>
  </si>
  <si>
    <t>Frozen</t>
  </si>
  <si>
    <t>sardine (both juveniles and adults) for an analysis of infection by a “tetracotyle” type digenean parasite.</t>
  </si>
  <si>
    <t>Whole fish</t>
  </si>
  <si>
    <t>round herring for monitoring of microplastic pollution in the SA marine pelagos.</t>
  </si>
  <si>
    <t>Frozen (&gt;20 cm length)</t>
  </si>
  <si>
    <t>Road</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</si>
  <si>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</si>
  <si>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</si>
  <si>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</si>
  <si>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</si>
  <si>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</si>
  <si>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</si>
  <si>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</si>
  <si>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</si>
  <si>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</si>
  <si>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</si>
  <si>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</si>
  <si>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</si>
  <si>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</si>
  <si>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</si>
  <si>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</si>
  <si>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</si>
  <si>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</si>
  <si>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</si>
  <si>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</si>
  <si>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</si>
  <si>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</si>
  <si>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</si>
  <si>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</si>
  <si>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</si>
  <si>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</si>
  <si>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</si>
  <si>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</si>
  <si>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</si>
  <si>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</si>
  <si>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</si>
  <si>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</si>
  <si>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</si>
  <si>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</si>
  <si>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</si>
  <si>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</si>
  <si>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</si>
  <si>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</si>
  <si>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</si>
  <si>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</si>
  <si>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</si>
  <si>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</si>
  <si>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</si>
  <si>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</si>
  <si>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</si>
  <si>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</si>
  <si>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</si>
  <si>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</si>
  <si>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SARD </t>
  </si>
  <si>
    <t>Sardinella </t>
  </si>
  <si>
    <t>HMACK </t>
  </si>
  <si>
    <t>Horse mackerel </t>
  </si>
  <si>
    <t>MACKE </t>
  </si>
  <si>
    <t>Mackerel </t>
  </si>
  <si>
    <t>PILCH</t>
  </si>
  <si>
    <t>Scombridae </t>
  </si>
  <si>
    <t>Sphyraenidae </t>
  </si>
  <si>
    <t>Trichiuridae</t>
  </si>
  <si>
    <t>BOTT </t>
  </si>
  <si>
    <t>Demersal species</t>
  </si>
  <si>
    <t>Sparidae^[Main taxa group]</t>
  </si>
  <si>
    <t>Other taxa </t>
  </si>
  <si>
    <t>PLANK </t>
  </si>
  <si>
    <t>Plankton </t>
  </si>
  <si>
    <t>Plankton, Euphausiids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</si>
  <si>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</si>
  <si>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</si>
  <si>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</si>
  <si>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</si>
  <si>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</si>
  <si>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</si>
  <si>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*Sardinella maderensis*</t>
  </si>
  <si>
    <t>*Ilisha africana*</t>
  </si>
  <si>
    <t>*Selene dorsalis*</t>
  </si>
  <si>
    <t>*Chloroscombrus chrysurus*</t>
  </si>
  <si>
    <t>*Decapterus rhonchus*</t>
  </si>
  <si>
    <t>*Seriola carpenteri*</t>
  </si>
  <si>
    <t>*Auxis thazard*</t>
  </si>
  <si>
    <t>*Sarda sarda*</t>
  </si>
  <si>
    <t>*Sphyraena guachancho*</t>
  </si>
  <si>
    <t>*Trichiurus lepturus*</t>
  </si>
  <si>
    <t>*Lepidopus caudatus*</t>
  </si>
  <si>
    <t>*Brachydeuterus auritus*</t>
  </si>
  <si>
    <t>*Pagellus bellottii*</t>
  </si>
  <si>
    <t>*Ariomma bondi*</t>
  </si>
  <si>
    <t>*Pomadasys incisus*</t>
  </si>
  <si>
    <t>*Diaphus dumerili*</t>
  </si>
  <si>
    <t>*Sardinella aurita*</t>
  </si>
  <si>
    <t>*Trachurus trecae*</t>
  </si>
  <si>
    <t>*Scomber colias*</t>
  </si>
  <si>
    <t>Grand total</t>
  </si>
  <si>
    <t>Pelagic group 1 </t>
  </si>
  <si>
    <t>Pelagic group 2 </t>
  </si>
  <si>
    <t>Mesopelagic fish</t>
  </si>
  <si>
    <t>Anthropogenic pollutants</t>
  </si>
  <si>
    <t>**YES**</t>
  </si>
  <si>
    <t>**√**</t>
  </si>
  <si>
    <t>collected and recorded at sea</t>
  </si>
  <si>
    <t>samples retained for subsequent analysis</t>
  </si>
  <si>
    <t>**YES:**</t>
  </si>
  <si>
    <t>**√:**</t>
  </si>
  <si>
    <r>
      <t>*Sardinella*</t>
    </r>
    <r>
      <rPr>
        <sz val="10"/>
        <color rgb="FF000000"/>
        <rFont val="Calibri"/>
        <scheme val="minor"/>
      </rPr>
      <t xml:space="preserve"> spp. </t>
    </r>
  </si>
  <si>
    <r>
      <t>*Trachurus*</t>
    </r>
    <r>
      <rPr>
        <sz val="10"/>
        <color rgb="FF000000"/>
        <rFont val="Calibri"/>
        <scheme val="minor"/>
      </rPr>
      <t> spp.  </t>
    </r>
  </si>
  <si>
    <r>
      <t>*Scomber*</t>
    </r>
    <r>
      <rPr>
        <sz val="10"/>
        <color rgb="FF000000"/>
        <rFont val="Calibri"/>
        <scheme val="minor"/>
      </rPr>
      <t> sp. </t>
    </r>
  </si>
  <si>
    <t>Anchovy</t>
  </si>
  <si>
    <t>Pilchard</t>
  </si>
  <si>
    <t>OTHER</t>
  </si>
  <si>
    <t>Other</t>
  </si>
  <si>
    <t>MESO^[if more acoustic categories are required the codes MESO3 and MESO4 should be used, and reflected in the table of the survey report]</t>
  </si>
  <si>
    <t>Theme 9</t>
  </si>
  <si>
    <t>Oceanography, climate forcing and impacts on structure, diversity and productivity of marine ecosystems</t>
  </si>
  <si>
    <t>Marek Ostrowski (IMR)</t>
  </si>
  <si>
    <t>Dry</t>
  </si>
  <si>
    <t>Vials</t>
  </si>
  <si>
    <t>pCO2</t>
  </si>
  <si>
    <t>Chlorophyll *a*</t>
  </si>
  <si>
    <t>Allocation of acoustic densities to species groups.</t>
  </si>
  <si>
    <t>Invertebrate families for which biolocical samples are to be collected for taxonomic courses.</t>
  </si>
  <si>
    <t>Data entry spreadsheet example.</t>
  </si>
  <si>
    <t>List of people planned to participate on the survey.</t>
  </si>
  <si>
    <t>PEL1^[list of species is not exhaustive]</t>
  </si>
  <si>
    <t>PEL2^[list of species is not exhaustive]</t>
  </si>
  <si>
    <t>ANCHO</t>
  </si>
  <si>
    <t>Gonad stage descriptions for anchovy, sardine and round herring used by the Department of Forestry, Fisheries and the Environment.</t>
  </si>
  <si>
    <t>Fat stage descriptions for anchovy used by the Department of Forestry, Fisheries and the Environment.</t>
  </si>
  <si>
    <t>Fat stage descriptions for sardine and round herring used by the Department of Forestry, Fisheries and the Environment.</t>
  </si>
  <si>
    <t>Carl van der Lingen, CVDLingen@dffe.gov.za</t>
  </si>
  <si>
    <t>Deep Vision</t>
  </si>
  <si>
    <t>Clupeiformes^[Except *Sardinella* and *Engraulis* genera when explicit biomass estimates are provided for them]</t>
  </si>
  <si>
    <t>Carangidae^[Except *Trachurus* and *Scomber* genera when explicit biomass estimates are provided for them]</t>
  </si>
  <si>
    <t xml:space="preserve">Activity diary (Survey Logger/Toktlogger) </t>
  </si>
  <si>
    <t>Olex (with input from EK80)</t>
  </si>
  <si>
    <t>DFFE^[Department of Forestry, Fisheries and the Environment]</t>
  </si>
  <si>
    <t>sardine and round herring eggs</t>
  </si>
  <si>
    <t>Overview of component sampled, and equipment to be used during the survey. Overview of the gear codes to be used in the Cruise Logger system, detailed information about the rigging of the equipment as well as technical drawings and other specifications of the various equipment can be found in the Nansen wiki site.</t>
  </si>
  <si>
    <t>Ichthyoplankton</t>
  </si>
  <si>
    <t>CUFES (continuous underwater fish egg sampler)</t>
  </si>
  <si>
    <t>Åkra trawl without floats (small, 228)</t>
  </si>
  <si>
    <t xml:space="preserve">Åkratrål u/blåser (små, 228) </t>
  </si>
  <si>
    <t>Åkra trawl with floats (small, 228)</t>
  </si>
  <si>
    <t xml:space="preserve">Åkratrål m/blåser (små, 228) </t>
  </si>
  <si>
    <t>Multpelt 624</t>
  </si>
  <si>
    <t>Multpelt 624 with inner lining</t>
  </si>
  <si>
    <t>Multpelt 624 m/inner nett</t>
  </si>
  <si>
    <t>Multpelt 624 with inner lining and DeepVision</t>
  </si>
  <si>
    <t>Multpelt 624 m/inner nett/DeepVision</t>
  </si>
  <si>
    <t>Multpelt 624 with DeepVision</t>
  </si>
  <si>
    <t>Multpelt 624 m/DeepVision</t>
  </si>
  <si>
    <t>Gisund Super with floats</t>
  </si>
  <si>
    <t>Gisund Super m/blåser</t>
  </si>
  <si>
    <t>Gisund Super without floats</t>
  </si>
  <si>
    <t>Gisund Super u/blåser</t>
  </si>
  <si>
    <t>Gisund Super without floats, with strapping</t>
  </si>
  <si>
    <t>Gisund Super m/strappetau, u/blåser</t>
  </si>
  <si>
    <t>Gisund Super without floats, with tickler chain and strapping</t>
  </si>
  <si>
    <t>Gisund Super m/strappetau/kjettingmatte, u/blåser</t>
  </si>
  <si>
    <t>Macroplankton trawl large without floats</t>
  </si>
  <si>
    <t xml:space="preserve">Makropl.tr. S u/blåser </t>
  </si>
  <si>
    <t>Macroplankton trawl large with floats</t>
  </si>
  <si>
    <t>Beam trawl</t>
  </si>
  <si>
    <t>Bomtrål</t>
  </si>
  <si>
    <t>SPD Code</t>
  </si>
  <si>
    <t>English name</t>
  </si>
  <si>
    <t>Norwegian name</t>
  </si>
  <si>
    <t>Data or Samples</t>
  </si>
  <si>
    <t>Phytoplankton net</t>
  </si>
  <si>
    <t>Algehåv</t>
  </si>
  <si>
    <t>Juday-36  cm</t>
  </si>
  <si>
    <t>WP II-56 cm</t>
  </si>
  <si>
    <t>Multinet-MIDI</t>
  </si>
  <si>
    <t>Multinet-MAMMOTH</t>
  </si>
  <si>
    <t xml:space="preserve">Bongo 60 cm </t>
  </si>
  <si>
    <t>MANTA-net</t>
  </si>
  <si>
    <t>Benthic sledge</t>
  </si>
  <si>
    <t>Bunnslede</t>
  </si>
  <si>
    <t>Box corer grab</t>
  </si>
  <si>
    <t>Box corer grabb</t>
  </si>
  <si>
    <t>CTD Seabird</t>
  </si>
  <si>
    <t>Not required</t>
  </si>
  <si>
    <t>Acoustic Dopler Current Profiler</t>
  </si>
  <si>
    <t>Plankton</t>
  </si>
  <si>
    <t>Plankton, microplastics</t>
  </si>
  <si>
    <t>Benthos</t>
  </si>
  <si>
    <t>Benthos, sediments</t>
  </si>
  <si>
    <t>Responsible for logging</t>
  </si>
  <si>
    <t>Fish, invertebrates, marine debris</t>
  </si>
  <si>
    <t>Fish, invertebrates, marine debris with images</t>
  </si>
  <si>
    <t>Echo sounders (EK 80)</t>
  </si>
  <si>
    <t>Omni-directional Fisheries sonar (SU90)</t>
  </si>
  <si>
    <t>Fish, invertebrates acoustic data</t>
  </si>
  <si>
    <t>Fish acoustic data</t>
  </si>
  <si>
    <t>Weather station</t>
  </si>
  <si>
    <t>Meteorological data (wind speed, direction, temperature, light sensor)</t>
  </si>
  <si>
    <t>Physical/Chemical oceanography</t>
  </si>
  <si>
    <t>Bridge officer</t>
  </si>
  <si>
    <t>Automatic</t>
  </si>
  <si>
    <t>Observer</t>
  </si>
  <si>
    <t>06/10/22</t>
  </si>
  <si>
    <t>18/10/22</t>
  </si>
  <si>
    <t>Dakar</t>
  </si>
  <si>
    <t>22/10/22</t>
  </si>
  <si>
    <t>15/11/22</t>
  </si>
  <si>
    <t>18/11/22</t>
  </si>
  <si>
    <t>19/12/22</t>
  </si>
  <si>
    <t>Las Palmas</t>
  </si>
  <si>
    <t>Leg5.1</t>
  </si>
  <si>
    <t>Leg5.2</t>
  </si>
  <si>
    <t>Leg5.3</t>
  </si>
  <si>
    <t>Gambia</t>
  </si>
  <si>
    <t>Senegal</t>
  </si>
  <si>
    <t>Mauritania</t>
  </si>
  <si>
    <t>Morocco</t>
  </si>
  <si>
    <t>Fabian Zimmermann</t>
  </si>
  <si>
    <t>fabian.zimmermann@hi.no</t>
  </si>
  <si>
    <t>SWITZERLAND</t>
  </si>
  <si>
    <t>Eirik Odland</t>
  </si>
  <si>
    <t>sarah.ann.bruck@hi.no</t>
  </si>
  <si>
    <t>eirik.odland@hi.no</t>
  </si>
  <si>
    <t>Gaston Ezequiel Aguirre</t>
  </si>
  <si>
    <t>Plankton Team Leader</t>
  </si>
  <si>
    <t>Chemical Oceanography Team Leader</t>
  </si>
  <si>
    <t>Sarah Ann Bruck</t>
  </si>
  <si>
    <t xml:space="preserve">Helene Hodal Lødemel </t>
  </si>
  <si>
    <t>gaston.aguirre@hi.no</t>
  </si>
  <si>
    <t>helene.hodal.loedemel@hi.no</t>
  </si>
  <si>
    <t>?</t>
  </si>
  <si>
    <t>Olaf J Søras</t>
  </si>
  <si>
    <t>Jori.Neteland-Kyte@hi.no</t>
  </si>
  <si>
    <t>olaf.j.soeraas@hi.no</t>
  </si>
  <si>
    <t>Jori Neteland-Kyte</t>
  </si>
  <si>
    <t>*Trachurus trachurus*</t>
  </si>
  <si>
    <r>
      <t xml:space="preserve">*Sardina* </t>
    </r>
    <r>
      <rPr>
        <sz val="10"/>
        <color rgb="FF000000"/>
        <rFont val="Calibri"/>
        <family val="2"/>
        <scheme val="minor"/>
      </rPr>
      <t>sp.</t>
    </r>
  </si>
  <si>
    <t>*Sardina pilchardus*</t>
  </si>
  <si>
    <t>*Dentex spp*</t>
  </si>
  <si>
    <t>*Sparus spp*</t>
  </si>
  <si>
    <t>*Merluccius spp*</t>
  </si>
  <si>
    <t>*Brachydeuterus auritus*^[may be put under PEL2 but used as Other in 2019]</t>
  </si>
  <si>
    <t>(e.g. Myctophidae)[Need for separate MESO or merged with Plankton?]</t>
  </si>
  <si>
    <t>Leg 5.1 Senegal-The Gambia</t>
  </si>
  <si>
    <t>Additional activity</t>
  </si>
  <si>
    <t>Leg 5.2 Mauritania + Cape Blanc-Cape Bojador</t>
  </si>
  <si>
    <t>Leg 5.3 Cape Bojador- Tangier</t>
  </si>
  <si>
    <t>calibration of echosounders of DFN and parallell transects with R/V from Senegal</t>
  </si>
  <si>
    <t>paralell transects with R/V from Mauritania</t>
  </si>
  <si>
    <t>paralell transects with R/V from Morocco</t>
  </si>
  <si>
    <t>Theme 6 </t>
  </si>
  <si>
    <t>Bjørn Einar Grøsvik (IMR), Peter Kershaw (FAO consultant and GESAMP) </t>
  </si>
  <si>
    <t>Theme 10</t>
  </si>
  <si>
    <t>Theme 8</t>
  </si>
  <si>
    <t>Marian Kjellevold (IMR)</t>
  </si>
  <si>
    <t>Melissa Chierici (IMR)</t>
  </si>
  <si>
    <t>Marine debris and microplastics: occurrence and impacts on marine ecosystems</t>
  </si>
  <si>
    <t>Identification guide to ichthyoplankton in Northwest Africa </t>
  </si>
  <si>
    <t xml:space="preserve">Addressing population structure of shared pelagic stocks, Investigation of bias in echo sounder acoustic surveys using omni directional sonar </t>
  </si>
  <si>
    <t>Future studies of nutrient profiles, contaminants and microplastics of sardinella and anchovy </t>
  </si>
  <si>
    <t>Ocean acidification state and drivers in upwelling systems</t>
  </si>
  <si>
    <t>FAO (External experts)</t>
  </si>
  <si>
    <t>Total Leg 5.1</t>
  </si>
  <si>
    <t>Total Leg 5.2</t>
  </si>
  <si>
    <t>Total Leg 5.3</t>
  </si>
  <si>
    <t>Dave Boyer</t>
  </si>
  <si>
    <t>Jens-Otto Krakstad</t>
  </si>
  <si>
    <t>Instrument Engineer/Plankton Team leader</t>
  </si>
  <si>
    <t>Position (laboratory)</t>
  </si>
  <si>
    <t>*Sardinella aurita*</t>
  </si>
  <si>
    <t>*Sardinella maderensis*</t>
  </si>
  <si>
    <t>*Scomber colias*</t>
  </si>
  <si>
    <t>*Trachurus trachurus*</t>
  </si>
  <si>
    <t>*Trachurus trecae*</t>
  </si>
  <si>
    <t>*Decapterous ronchus*</t>
  </si>
  <si>
    <t>Country</t>
  </si>
  <si>
    <t>*Macroramphosus gracilis*</t>
  </si>
  <si>
    <t>*Trachurus picturatus*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</si>
</sst>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26"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sz val="10"/>
      <color theme="1"/>
      <name val="Calibri"/>
      <family val="2"/>
      <scheme val="minor"/>
    </font>
    <font>
      <i/>
      <sz val="8"/>
      <name val="Calibri"/>
      <family val="2"/>
      <scheme val="minor"/>
    </font>
    <font>
      <sz val="11.5"/>
      <color rgb="FF212121"/>
      <name val="Arial"/>
      <family val="2"/>
    </font>
    <font>
      <sz val="11"/>
      <color rgb="FF000000"/>
      <name val="Calibri"/>
      <family val="2"/>
      <charset val="1"/>
    </font>
    <font>
      <sz val="9"/>
      <color rgb="FF000000"/>
      <name val="Calibri"/>
      <family val="2"/>
      <scheme val="minor"/>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
      <sz val="11"/>
      <color rgb="FFFF0000"/>
      <name val="Calibri"/>
      <family val="2"/>
      <scheme val="minor"/>
    </font>
  </fonts>
  <fills count="8">
    <fill>
      <patternFill patternType="none"/>
    </fill>
    <fill>
      <patternFill patternType="gray125"/>
    </fill>
    <fill>
      <patternFill patternType="solid">
        <fgColor rgb="FFFFFF00"/>
        <bgColor rgb="FF000000"/>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D9D9D9"/>
        <bgColor rgb="FF000000"/>
      </patternFill>
    </fill>
  </fills>
  <borders count="17">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medium">
        <color indexed="64"/>
      </right>
      <top style="medium">
        <color indexed="64"/>
      </top>
      <bottom/>
      <diagonal/>
    </border>
  </borders>
  <cellStyleXfs count="2">
    <xf numFmtId="0" fontId="0" fillId="0" borderId="0"/>
    <xf numFmtId="0" fontId="3" fillId="0" borderId="0" applyNumberFormat="0" applyFill="0" applyBorder="0" applyAlignment="0" applyProtection="0"/>
  </cellStyleXfs>
  <cellXfs count="92">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6" fillId="0" borderId="0" xfId="0" applyFont="1"/>
    <xf numFmtId="0" fontId="7" fillId="0" borderId="0" xfId="0" applyFont="1"/>
    <xf numFmtId="0" fontId="8" fillId="0" borderId="0" xfId="0" applyFont="1" applyAlignment="1">
      <alignment wrapText="1"/>
    </xf>
    <xf numFmtId="0" fontId="12" fillId="0" borderId="0" xfId="0" applyFont="1"/>
    <xf numFmtId="0" fontId="10" fillId="0" borderId="0" xfId="0" applyFont="1" applyAlignment="1">
      <alignment vertical="center" wrapText="1"/>
    </xf>
    <xf numFmtId="0" fontId="3" fillId="0" borderId="0" xfId="1" applyAlignment="1">
      <alignment wrapText="1"/>
    </xf>
    <xf numFmtId="0" fontId="3" fillId="0" borderId="0" xfId="1"/>
    <xf numFmtId="0" fontId="7" fillId="0" borderId="0" xfId="0" applyFont="1" applyAlignment="1">
      <alignment wrapText="1"/>
    </xf>
    <xf numFmtId="0" fontId="8" fillId="0" borderId="0" xfId="0" applyFont="1"/>
    <xf numFmtId="0" fontId="9" fillId="0" borderId="0" xfId="0" applyFont="1" applyAlignment="1">
      <alignment vertical="center" wrapText="1"/>
    </xf>
    <xf numFmtId="0" fontId="14" fillId="0" borderId="0" xfId="0" applyFont="1"/>
    <xf numFmtId="0" fontId="13" fillId="0" borderId="0" xfId="0" applyFont="1" applyAlignment="1">
      <alignment horizontal="center" vertical="center" wrapText="1"/>
    </xf>
    <xf numFmtId="0" fontId="9" fillId="0" borderId="0" xfId="0" applyFont="1" applyAlignment="1">
      <alignment horizontal="center" vertical="center" wrapText="1"/>
    </xf>
    <xf numFmtId="0" fontId="15" fillId="0" borderId="0" xfId="0" applyFont="1" applyAlignment="1">
      <alignment wrapText="1"/>
    </xf>
    <xf numFmtId="0" fontId="0" fillId="0" borderId="0" xfId="0" applyAlignment="1">
      <alignment horizontal="center" vertical="center"/>
    </xf>
    <xf numFmtId="0" fontId="3" fillId="0" borderId="0" xfId="1" applyBorder="1"/>
    <xf numFmtId="0" fontId="8" fillId="0" borderId="0" xfId="0" applyFont="1" applyAlignment="1">
      <alignment horizontal="left" wrapText="1"/>
    </xf>
    <xf numFmtId="0" fontId="7" fillId="0" borderId="0" xfId="0" applyFont="1" applyAlignment="1">
      <alignment horizontal="left"/>
    </xf>
    <xf numFmtId="0" fontId="0" fillId="0" borderId="0" xfId="0" applyAlignment="1">
      <alignment horizontal="left"/>
    </xf>
    <xf numFmtId="0" fontId="16" fillId="0" borderId="0" xfId="0" applyFont="1"/>
    <xf numFmtId="0" fontId="5" fillId="0" borderId="0" xfId="0" applyFont="1" applyAlignment="1">
      <alignment vertical="center"/>
    </xf>
    <xf numFmtId="0" fontId="17" fillId="0" borderId="0" xfId="0" applyFont="1"/>
    <xf numFmtId="164" fontId="8" fillId="0" borderId="0" xfId="0" quotePrefix="1" applyNumberFormat="1" applyFont="1" applyAlignment="1">
      <alignment horizontal="right" wrapText="1"/>
    </xf>
    <xf numFmtId="0" fontId="7" fillId="3" borderId="0" xfId="0" applyFont="1" applyFill="1"/>
    <xf numFmtId="0" fontId="13" fillId="0" borderId="5" xfId="0" applyFont="1" applyBorder="1" applyAlignment="1">
      <alignment vertical="center" wrapText="1"/>
    </xf>
    <xf numFmtId="0" fontId="13" fillId="0" borderId="6" xfId="0" applyFont="1" applyBorder="1" applyAlignment="1">
      <alignment horizontal="center" vertical="center" wrapText="1"/>
    </xf>
    <xf numFmtId="0" fontId="13" fillId="0" borderId="7" xfId="0" applyFont="1" applyBorder="1" applyAlignment="1">
      <alignment horizontal="center" vertical="center" wrapText="1"/>
    </xf>
    <xf numFmtId="0" fontId="11" fillId="0" borderId="8" xfId="0" applyFont="1" applyBorder="1" applyAlignment="1">
      <alignment vertical="center" wrapText="1"/>
    </xf>
    <xf numFmtId="0" fontId="9" fillId="4" borderId="0" xfId="0" applyFont="1" applyFill="1" applyAlignment="1">
      <alignment horizontal="center" vertical="center" wrapText="1"/>
    </xf>
    <xf numFmtId="0" fontId="9" fillId="5" borderId="0" xfId="0" applyFont="1" applyFill="1" applyAlignment="1">
      <alignment horizontal="center" vertical="center" wrapText="1"/>
    </xf>
    <xf numFmtId="0" fontId="0" fillId="0" borderId="9" xfId="0" applyBorder="1"/>
    <xf numFmtId="0" fontId="18" fillId="0" borderId="0" xfId="0" applyFont="1" applyAlignment="1">
      <alignment horizontal="center" vertical="center" wrapText="1"/>
    </xf>
    <xf numFmtId="0" fontId="9" fillId="0" borderId="10" xfId="0" applyFont="1" applyBorder="1" applyAlignment="1">
      <alignment vertical="center" wrapText="1"/>
    </xf>
    <xf numFmtId="0" fontId="13" fillId="0" borderId="11" xfId="0" applyFont="1" applyBorder="1" applyAlignment="1">
      <alignment horizontal="center" vertical="center" wrapText="1"/>
    </xf>
    <xf numFmtId="0" fontId="0" fillId="0" borderId="11" xfId="0" applyBorder="1"/>
    <xf numFmtId="0" fontId="0" fillId="0" borderId="12" xfId="0" applyBorder="1"/>
    <xf numFmtId="49" fontId="2" fillId="0" borderId="3" xfId="0" applyNumberFormat="1" applyFont="1" applyBorder="1" applyAlignment="1">
      <alignment vertical="center" wrapText="1"/>
    </xf>
    <xf numFmtId="164" fontId="0" fillId="0" borderId="0" xfId="0" quotePrefix="1" applyNumberFormat="1" applyAlignment="1">
      <alignment horizontal="right"/>
    </xf>
    <xf numFmtId="0" fontId="4" fillId="0" borderId="15" xfId="0" applyFont="1" applyBorder="1" applyAlignment="1">
      <alignment vertical="center" wrapText="1"/>
    </xf>
    <xf numFmtId="0" fontId="0" fillId="0" borderId="15" xfId="0" applyBorder="1"/>
    <xf numFmtId="0" fontId="4" fillId="2" borderId="4" xfId="0" applyFont="1" applyFill="1" applyBorder="1" applyAlignment="1">
      <alignment horizontal="center" vertical="center" wrapText="1"/>
    </xf>
    <xf numFmtId="0" fontId="4" fillId="2" borderId="16" xfId="0" applyFont="1" applyFill="1" applyBorder="1" applyAlignment="1">
      <alignment horizontal="center" vertical="center" wrapText="1"/>
    </xf>
    <xf numFmtId="0" fontId="0" fillId="0" borderId="0" xfId="0" applyFill="1"/>
    <xf numFmtId="0" fontId="18" fillId="0" borderId="0" xfId="0" applyFont="1" applyAlignment="1">
      <alignment vertical="top"/>
    </xf>
    <xf numFmtId="0" fontId="21" fillId="0" borderId="0" xfId="0" applyFont="1" applyAlignment="1">
      <alignment wrapText="1"/>
    </xf>
    <xf numFmtId="0" fontId="22" fillId="0" borderId="0" xfId="0" applyFont="1" applyAlignment="1">
      <alignment wrapText="1"/>
    </xf>
    <xf numFmtId="0" fontId="22" fillId="0" borderId="13" xfId="0" applyFont="1" applyBorder="1" applyAlignment="1">
      <alignment wrapText="1"/>
    </xf>
    <xf numFmtId="0" fontId="22" fillId="0" borderId="13" xfId="0" applyFont="1" applyBorder="1"/>
    <xf numFmtId="0" fontId="24" fillId="0" borderId="0" xfId="0" applyFont="1"/>
    <xf numFmtId="0" fontId="11" fillId="0" borderId="13" xfId="0" applyFont="1" applyBorder="1"/>
    <xf numFmtId="0" fontId="22" fillId="0" borderId="14" xfId="0" applyFont="1" applyBorder="1"/>
    <xf numFmtId="0" fontId="4" fillId="0" borderId="15" xfId="0" applyFont="1" applyBorder="1" applyAlignment="1">
      <alignment vertical="center" wrapText="1"/>
    </xf>
    <xf numFmtId="0" fontId="7" fillId="0" borderId="0" xfId="0" applyFont="1" applyFill="1" applyAlignment="1">
      <alignment horizontal="center"/>
    </xf>
    <xf numFmtId="0" fontId="23" fillId="0" borderId="13" xfId="0" applyFont="1" applyBorder="1" applyAlignment="1">
      <alignment wrapText="1"/>
    </xf>
    <xf numFmtId="0" fontId="7" fillId="0" borderId="0" xfId="0" applyFont="1" applyAlignment="1">
      <alignment horizontal="center"/>
    </xf>
    <xf numFmtId="0" fontId="9" fillId="0" borderId="14" xfId="0" applyFont="1" applyBorder="1"/>
    <xf numFmtId="0" fontId="9" fillId="0" borderId="13" xfId="0" applyFont="1" applyBorder="1" applyAlignment="1">
      <alignment wrapText="1"/>
    </xf>
    <xf numFmtId="0" fontId="3" fillId="0" borderId="0" xfId="1" applyBorder="1" applyAlignment="1"/>
    <xf numFmtId="0" fontId="7" fillId="0" borderId="0" xfId="0" applyFont="1" applyBorder="1"/>
    <xf numFmtId="0" fontId="7" fillId="0" borderId="0" xfId="0" applyFont="1"/>
    <xf numFmtId="0" fontId="7" fillId="0" borderId="0" xfId="0" applyFont="1" applyFill="1"/>
    <xf numFmtId="0" fontId="7" fillId="2" borderId="0" xfId="0" applyFont="1" applyFill="1" applyAlignment="1">
      <alignment horizontal="center"/>
    </xf>
    <xf numFmtId="0" fontId="0" fillId="0" borderId="0" xfId="0" applyAlignment="1">
      <alignment vertical="center"/>
    </xf>
    <xf numFmtId="0" fontId="1" fillId="0" borderId="0" xfId="0" applyFont="1" applyAlignment="1">
      <alignment horizontal="center" vertical="center"/>
    </xf>
    <xf numFmtId="0" fontId="23" fillId="0" borderId="0" xfId="0" applyFont="1" applyBorder="1" applyAlignment="1">
      <alignment wrapText="1"/>
    </xf>
    <xf numFmtId="0" fontId="22" fillId="0" borderId="0" xfId="0" applyFont="1" applyBorder="1" applyAlignment="1">
      <alignment wrapText="1"/>
    </xf>
    <xf numFmtId="0" fontId="0" fillId="3" borderId="0" xfId="0" applyFill="1"/>
    <xf numFmtId="0" fontId="7" fillId="7" borderId="0" xfId="0" applyFont="1" applyFill="1"/>
    <xf numFmtId="0" fontId="0" fillId="6" borderId="0" xfId="0" applyFill="1" applyProtection="1"/>
    <xf numFmtId="0" fontId="19" fillId="0" borderId="0" xfId="0" applyFont="1" applyFill="1" applyAlignment="1">
      <alignment horizontal="center" vertical="center"/>
    </xf>
    <xf numFmtId="0" fontId="0" fillId="0" borderId="0" xfId="0" applyFont="1" applyFill="1" applyAlignment="1">
      <alignment vertical="center"/>
    </xf>
    <xf numFmtId="0" fontId="0" fillId="0" borderId="0" xfId="0" applyFont="1" applyFill="1" applyAlignment="1">
      <alignment horizontal="center" vertical="center"/>
    </xf>
    <xf numFmtId="0" fontId="11" fillId="0" borderId="0" xfId="0" applyFont="1" applyBorder="1" applyAlignment="1">
      <alignment wrapText="1"/>
    </xf>
    <xf numFmtId="0" fontId="22" fillId="0" borderId="0" xfId="0" applyFont="1" applyBorder="1"/>
    <xf numFmtId="0" fontId="9" fillId="0" borderId="0" xfId="0" applyFont="1" applyBorder="1"/>
    <xf numFmtId="0" fontId="22" fillId="0" borderId="0" xfId="0" applyFont="1" applyFill="1" applyBorder="1" applyAlignment="1">
      <alignment wrapText="1"/>
    </xf>
    <xf numFmtId="0" fontId="23" fillId="0" borderId="0" xfId="0" applyFont="1" applyFill="1" applyBorder="1" applyAlignment="1">
      <alignment wrapText="1"/>
    </xf>
    <xf numFmtId="0" fontId="22" fillId="0" borderId="0" xfId="0" applyFont="1" applyFill="1" applyBorder="1"/>
    <xf numFmtId="0" fontId="11" fillId="0" borderId="0" xfId="0" applyFont="1" applyFill="1" applyBorder="1"/>
    <xf numFmtId="0" fontId="11" fillId="0" borderId="0" xfId="0" applyFont="1" applyFill="1" applyBorder="1" applyAlignment="1">
      <alignment wrapText="1"/>
    </xf>
    <xf numFmtId="0" fontId="23" fillId="0" borderId="0" xfId="0" applyFont="1" applyFill="1" applyBorder="1" applyAlignment="1">
      <alignment wrapText="1"/>
    </xf>
    <xf numFmtId="0" fontId="22" fillId="0" borderId="0" xfId="0" applyFont="1" applyAlignment="1">
      <alignment wrapText="1"/>
    </xf>
    <xf numFmtId="0" fontId="22" fillId="0" borderId="0" xfId="0" applyFont="1" applyFill="1" applyBorder="1" applyAlignment="1">
      <alignment wrapText="1"/>
    </xf>
    <xf numFmtId="0" fontId="22" fillId="0" borderId="13" xfId="0" applyFont="1" applyBorder="1" applyAlignment="1">
      <alignment wrapText="1"/>
    </xf>
    <xf numFmtId="0" fontId="22" fillId="0" borderId="0" xfId="0" applyFont="1" applyBorder="1" applyAlignment="1">
      <alignment wrapText="1"/>
    </xf>
    <xf numFmtId="0" fontId="13" fillId="0" borderId="0" xfId="0" applyFont="1" applyFill="1" applyBorder="1" applyAlignment="1">
      <alignment horizontal="center" vertical="center" wrapText="1"/>
    </xf>
    <xf numFmtId="0" fontId="25" fillId="0" borderId="0" xfId="0" applyFont="1"/>
    <xf numFmtId="0" fontId="25" fillId="6" borderId="0" xfId="0" applyFont="1" applyFill="1" applyProtection="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mailto:sarah.ann.bruck@hi.no" TargetMode="External"/><Relationship Id="rId7" Type="http://schemas.openxmlformats.org/officeDocument/2006/relationships/printerSettings" Target="../printerSettings/printerSettings6.bin"/><Relationship Id="rId2" Type="http://schemas.openxmlformats.org/officeDocument/2006/relationships/hyperlink" Target="mailto:Jori.Neteland-Kyte@hi.no" TargetMode="External"/><Relationship Id="rId1" Type="http://schemas.openxmlformats.org/officeDocument/2006/relationships/hyperlink" Target="mailto:fabian.zimmermann@hi.no" TargetMode="External"/><Relationship Id="rId6" Type="http://schemas.openxmlformats.org/officeDocument/2006/relationships/hyperlink" Target="mailto:helene.hodal.loedemel@hi.no" TargetMode="External"/><Relationship Id="rId5" Type="http://schemas.openxmlformats.org/officeDocument/2006/relationships/hyperlink" Target="mailto:olaf.j.soeraas@hi.no" TargetMode="External"/><Relationship Id="rId4" Type="http://schemas.openxmlformats.org/officeDocument/2006/relationships/hyperlink" Target="mailto:eirik.odland@hi.no"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selection activeCell="B6" sqref="B6"/>
    </sheetView>
  </sheetViews>
  <sheetFormatPr defaultColWidth="8.85546875" defaultRowHeight="15" x14ac:dyDescent="0.25"/>
  <cols>
    <col min="1" max="1" width="24.85546875" bestFit="1" customWidth="1"/>
    <col min="2" max="2" width="235.42578125" bestFit="1" customWidth="1"/>
  </cols>
  <sheetData>
    <row r="1" spans="1:2" x14ac:dyDescent="0.25">
      <c r="A1" s="4" t="s">
        <v>0</v>
      </c>
      <c r="B1" s="4" t="s">
        <v>1</v>
      </c>
    </row>
    <row r="2" spans="1:2" x14ac:dyDescent="0.25">
      <c r="A2" s="5" t="s">
        <v>2</v>
      </c>
      <c r="B2" s="5" t="s">
        <v>3</v>
      </c>
    </row>
    <row r="3" spans="1:2" x14ac:dyDescent="0.25">
      <c r="A3" s="5" t="s">
        <v>4</v>
      </c>
      <c r="B3" s="5" t="s">
        <v>5</v>
      </c>
    </row>
    <row r="4" spans="1:2" ht="15.75" x14ac:dyDescent="0.25">
      <c r="A4" s="7" t="s">
        <v>6</v>
      </c>
      <c r="B4" s="5" t="s">
        <v>7</v>
      </c>
    </row>
    <row r="5" spans="1:2" ht="15.75" x14ac:dyDescent="0.25">
      <c r="A5" s="5" t="s">
        <v>8</v>
      </c>
      <c r="B5" s="7" t="s">
        <v>287</v>
      </c>
    </row>
    <row r="6" spans="1:2" x14ac:dyDescent="0.25">
      <c r="A6" s="5" t="s">
        <v>9</v>
      </c>
      <c r="B6" s="5" t="s">
        <v>10</v>
      </c>
    </row>
    <row r="7" spans="1:2" x14ac:dyDescent="0.25">
      <c r="A7" s="5" t="s">
        <v>11</v>
      </c>
      <c r="B7" s="64" t="s">
        <v>12</v>
      </c>
    </row>
    <row r="8" spans="1:2" ht="15.75" x14ac:dyDescent="0.25">
      <c r="A8" s="7" t="s">
        <v>13</v>
      </c>
      <c r="B8" s="5" t="s">
        <v>14</v>
      </c>
    </row>
    <row r="9" spans="1:2" x14ac:dyDescent="0.25">
      <c r="A9" s="5" t="s">
        <v>15</v>
      </c>
      <c r="B9" s="5" t="s">
        <v>272</v>
      </c>
    </row>
    <row r="10" spans="1:2" x14ac:dyDescent="0.25">
      <c r="A10" t="s">
        <v>16</v>
      </c>
      <c r="B10" s="5" t="s">
        <v>271</v>
      </c>
    </row>
    <row r="11" spans="1:2" ht="15.75" x14ac:dyDescent="0.25">
      <c r="A11" s="7" t="s">
        <v>17</v>
      </c>
      <c r="B11" s="5" t="s">
        <v>270</v>
      </c>
    </row>
    <row r="12" spans="1:2" x14ac:dyDescent="0.25">
      <c r="A12" t="s">
        <v>18</v>
      </c>
      <c r="B12" t="s">
        <v>269</v>
      </c>
    </row>
    <row r="13" spans="1:2" x14ac:dyDescent="0.25">
      <c r="A13" t="s">
        <v>19</v>
      </c>
      <c r="B13" t="s">
        <v>20</v>
      </c>
    </row>
    <row r="14" spans="1:2" x14ac:dyDescent="0.25">
      <c r="A14" t="s">
        <v>21</v>
      </c>
      <c r="B14" t="s">
        <v>22</v>
      </c>
    </row>
    <row r="15" spans="1:2" x14ac:dyDescent="0.25">
      <c r="A15" t="s">
        <v>23</v>
      </c>
      <c r="B15" t="s">
        <v>276</v>
      </c>
    </row>
    <row r="16" spans="1:2" x14ac:dyDescent="0.25">
      <c r="A16" t="s">
        <v>24</v>
      </c>
      <c r="B16" t="s">
        <v>277</v>
      </c>
    </row>
    <row r="17" spans="1:2" x14ac:dyDescent="0.25">
      <c r="A17" t="s">
        <v>25</v>
      </c>
      <c r="B17" t="s">
        <v>278</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5546875" defaultRowHeight="15" x14ac:dyDescent="0.25"/>
  <cols>
    <col min="1" max="1" width="27.28515625" bestFit="1" customWidth="1"/>
    <col min="2" max="2" width="57.28515625" bestFit="1" customWidth="1"/>
  </cols>
  <sheetData>
    <row r="1" spans="1:2" x14ac:dyDescent="0.25">
      <c r="A1" s="1" t="s">
        <v>26</v>
      </c>
      <c r="B1" s="1" t="s">
        <v>1</v>
      </c>
    </row>
    <row r="2" spans="1:2" x14ac:dyDescent="0.25">
      <c r="A2" t="s">
        <v>27</v>
      </c>
      <c r="B2" s="5" t="s">
        <v>223</v>
      </c>
    </row>
    <row r="3" spans="1:2" x14ac:dyDescent="0.25">
      <c r="A3" t="s">
        <v>28</v>
      </c>
      <c r="B3" s="5" t="s">
        <v>29</v>
      </c>
    </row>
    <row r="4" spans="1:2" x14ac:dyDescent="0.25">
      <c r="A4" s="46" t="s">
        <v>30</v>
      </c>
      <c r="B4" s="5" t="s">
        <v>31</v>
      </c>
    </row>
    <row r="5" spans="1:2" x14ac:dyDescent="0.25">
      <c r="A5" t="s">
        <v>218</v>
      </c>
      <c r="B5" s="5" t="s">
        <v>220</v>
      </c>
    </row>
    <row r="6" spans="1:2" x14ac:dyDescent="0.25">
      <c r="A6" t="s">
        <v>219</v>
      </c>
      <c r="B6" s="5" t="s">
        <v>221</v>
      </c>
    </row>
    <row r="7" spans="1:2" x14ac:dyDescent="0.25">
      <c r="A7" t="s">
        <v>32</v>
      </c>
      <c r="B7" s="5" t="s">
        <v>222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zoomScale="150" zoomScaleNormal="150" workbookViewId="0">
      <selection activeCell="G14" sqref="G14"/>
    </sheetView>
  </sheetViews>
  <sheetFormatPr defaultColWidth="8.85546875" defaultRowHeight="15" x14ac:dyDescent="0.25"/>
  <cols>
    <col min="1" max="1" width="41.85546875" bestFit="1" customWidth="1"/>
    <col min="2" max="2" width="78.85546875" bestFit="1" customWidth="1"/>
    <col min="3" max="3" width="15.42578125" bestFit="1" customWidth="1"/>
    <col min="4" max="5" width="10.7109375" bestFit="1" customWidth="1"/>
    <col min="6" max="6" width="16.42578125" bestFit="1" customWidth="1"/>
    <col min="7" max="7" width="13.42578125" bestFit="1" customWidth="1"/>
  </cols>
  <sheetData>
    <row r="1" spans="1:7" x14ac:dyDescent="0.25">
      <c r="A1" s="4" t="s">
        <v>40</v>
      </c>
      <c r="B1" s="4" t="s">
        <v>392</v>
      </c>
      <c r="C1" s="4" t="s">
        <v>41</v>
      </c>
      <c r="D1" s="4" t="s">
        <v>42</v>
      </c>
      <c r="E1" s="4" t="s">
        <v>43</v>
      </c>
      <c r="F1" s="4" t="s">
        <v>44</v>
      </c>
      <c r="G1" s="4" t="s">
        <v>45</v>
      </c>
    </row>
    <row r="2" spans="1:7" x14ac:dyDescent="0.25">
      <c r="A2" t="s">
        <v>391</v>
      </c>
      <c r="B2" t="s">
        <v>395</v>
      </c>
      <c r="C2" s="6">
        <v>13</v>
      </c>
      <c r="D2" s="26" t="s">
        <v>350</v>
      </c>
      <c r="E2" s="26" t="s">
        <v>351</v>
      </c>
      <c r="F2" s="24" t="s">
        <v>352</v>
      </c>
      <c r="G2" s="24" t="s">
        <v>352</v>
      </c>
    </row>
    <row r="3" spans="1:7" x14ac:dyDescent="0.25">
      <c r="A3" s="25" t="s">
        <v>393</v>
      </c>
      <c r="B3" s="25" t="s">
        <v>396</v>
      </c>
      <c r="C3" s="6">
        <v>25</v>
      </c>
      <c r="D3" s="26" t="s">
        <v>353</v>
      </c>
      <c r="E3" s="26" t="s">
        <v>354</v>
      </c>
      <c r="F3" s="24" t="s">
        <v>352</v>
      </c>
      <c r="G3" s="24" t="s">
        <v>352</v>
      </c>
    </row>
    <row r="4" spans="1:7" x14ac:dyDescent="0.25">
      <c r="A4" s="25" t="s">
        <v>394</v>
      </c>
      <c r="B4" s="25" t="s">
        <v>397</v>
      </c>
      <c r="C4">
        <v>29</v>
      </c>
      <c r="D4" s="26" t="s">
        <v>355</v>
      </c>
      <c r="E4" s="41" t="s">
        <v>356</v>
      </c>
      <c r="F4" t="s">
        <v>357</v>
      </c>
      <c r="G4" t="s">
        <v>357</v>
      </c>
    </row>
  </sheetData>
  <phoneticPr fontId="20"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zoomScale="150" zoomScaleNormal="150" workbookViewId="0">
      <selection activeCell="C9" sqref="C9"/>
    </sheetView>
  </sheetViews>
  <sheetFormatPr defaultColWidth="8.85546875" defaultRowHeight="15" x14ac:dyDescent="0.25"/>
  <cols>
    <col min="1" max="1" width="15" customWidth="1"/>
    <col min="2" max="2" width="62.42578125" customWidth="1"/>
    <col min="3" max="3" width="50.42578125" customWidth="1"/>
  </cols>
  <sheetData>
    <row r="1" spans="1:3" x14ac:dyDescent="0.25">
      <c r="A1" s="8" t="s">
        <v>33</v>
      </c>
      <c r="B1" s="8" t="s">
        <v>34</v>
      </c>
      <c r="C1" s="8" t="s">
        <v>35</v>
      </c>
    </row>
    <row r="2" spans="1:3" x14ac:dyDescent="0.25">
      <c r="A2" s="13" t="s">
        <v>36</v>
      </c>
      <c r="B2" s="13" t="s">
        <v>405</v>
      </c>
      <c r="C2" s="13" t="s">
        <v>37</v>
      </c>
    </row>
    <row r="3" spans="1:3" ht="25.5" x14ac:dyDescent="0.25">
      <c r="A3" s="13" t="s">
        <v>38</v>
      </c>
      <c r="B3" s="13" t="s">
        <v>406</v>
      </c>
      <c r="C3" s="13" t="s">
        <v>39</v>
      </c>
    </row>
    <row r="4" spans="1:3" ht="25.5" x14ac:dyDescent="0.25">
      <c r="A4" s="13" t="s">
        <v>398</v>
      </c>
      <c r="B4" s="13" t="s">
        <v>404</v>
      </c>
      <c r="C4" s="13" t="s">
        <v>399</v>
      </c>
    </row>
    <row r="5" spans="1:3" ht="25.5" x14ac:dyDescent="0.25">
      <c r="A5" s="13" t="s">
        <v>401</v>
      </c>
      <c r="B5" s="13" t="s">
        <v>407</v>
      </c>
      <c r="C5" s="13" t="s">
        <v>402</v>
      </c>
    </row>
    <row r="6" spans="1:3" ht="25.5" x14ac:dyDescent="0.25">
      <c r="A6" s="13" t="s">
        <v>262</v>
      </c>
      <c r="B6" s="13" t="s">
        <v>263</v>
      </c>
      <c r="C6" s="13" t="s">
        <v>264</v>
      </c>
    </row>
    <row r="7" spans="1:3" x14ac:dyDescent="0.25">
      <c r="A7" s="13" t="s">
        <v>400</v>
      </c>
      <c r="B7" s="13" t="s">
        <v>408</v>
      </c>
      <c r="C7" s="13" t="s">
        <v>403</v>
      </c>
    </row>
    <row r="8" spans="1:3" x14ac:dyDescent="0.25">
      <c r="A8" s="13"/>
      <c r="B8" s="13"/>
      <c r="C8" s="13"/>
    </row>
    <row r="9" spans="1:3" x14ac:dyDescent="0.25">
      <c r="A9" s="13"/>
      <c r="B9" s="13"/>
      <c r="C9" s="13"/>
    </row>
    <row r="10" spans="1:3" x14ac:dyDescent="0.25">
      <c r="A10" s="13"/>
      <c r="B10" s="13"/>
      <c r="C10" s="13"/>
    </row>
    <row r="11" spans="1:3" x14ac:dyDescent="0.25">
      <c r="A11" s="13"/>
      <c r="B11" s="13"/>
      <c r="C11" s="13"/>
    </row>
    <row r="12" spans="1:3" x14ac:dyDescent="0.25">
      <c r="A12" s="13"/>
      <c r="B12" s="13"/>
      <c r="C12" s="13"/>
    </row>
    <row r="13" spans="1:3" x14ac:dyDescent="0.25">
      <c r="A13" s="14"/>
      <c r="B13" s="14"/>
      <c r="C13" s="14"/>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3"/>
  <sheetViews>
    <sheetView tabSelected="1" topLeftCell="B1" zoomScale="130" zoomScaleNormal="130" workbookViewId="0">
      <selection activeCell="D26" sqref="D26"/>
    </sheetView>
  </sheetViews>
  <sheetFormatPr defaultColWidth="8.85546875" defaultRowHeight="15" x14ac:dyDescent="0.25"/>
  <cols>
    <col min="1" max="1" width="6.5703125" bestFit="1" customWidth="1"/>
    <col min="2" max="2" width="27.140625" bestFit="1" customWidth="1"/>
    <col min="3" max="4" width="14.140625" bestFit="1" customWidth="1"/>
    <col min="5" max="5" width="19.7109375" bestFit="1" customWidth="1"/>
    <col min="6" max="6" width="24" bestFit="1" customWidth="1"/>
    <col min="7" max="7" width="8" bestFit="1" customWidth="1"/>
    <col min="8" max="8" width="7.85546875" bestFit="1" customWidth="1"/>
    <col min="9" max="9" width="10.7109375" bestFit="1" customWidth="1"/>
    <col min="10" max="10" width="8.7109375" bestFit="1" customWidth="1"/>
    <col min="11" max="11" width="20.5703125" bestFit="1" customWidth="1"/>
    <col min="12" max="12" width="20.5703125" customWidth="1"/>
    <col min="13" max="14" width="23.7109375" bestFit="1" customWidth="1"/>
    <col min="15" max="15" width="18.140625" customWidth="1"/>
  </cols>
  <sheetData>
    <row r="1" spans="1:14" x14ac:dyDescent="0.25">
      <c r="A1" s="4" t="s">
        <v>47</v>
      </c>
      <c r="B1" s="4" t="s">
        <v>416</v>
      </c>
      <c r="C1" s="4" t="s">
        <v>48</v>
      </c>
      <c r="D1" s="4" t="s">
        <v>49</v>
      </c>
      <c r="E1" s="4" t="s">
        <v>50</v>
      </c>
      <c r="F1" s="4" t="s">
        <v>51</v>
      </c>
      <c r="G1" s="4" t="s">
        <v>362</v>
      </c>
      <c r="H1" s="4" t="s">
        <v>361</v>
      </c>
      <c r="I1" s="4" t="s">
        <v>363</v>
      </c>
      <c r="J1" s="4" t="s">
        <v>364</v>
      </c>
      <c r="K1" s="4" t="s">
        <v>409</v>
      </c>
      <c r="L1" s="4" t="s">
        <v>52</v>
      </c>
      <c r="M1" s="4" t="s">
        <v>53</v>
      </c>
      <c r="N1" s="4" t="s">
        <v>243</v>
      </c>
    </row>
    <row r="2" spans="1:14" x14ac:dyDescent="0.25">
      <c r="A2" s="63" t="s">
        <v>358</v>
      </c>
      <c r="B2" s="63" t="s">
        <v>54</v>
      </c>
      <c r="C2" s="70">
        <v>1</v>
      </c>
      <c r="D2" s="27">
        <v>1</v>
      </c>
      <c r="E2" s="63">
        <v>1</v>
      </c>
      <c r="F2" s="72" t="str">
        <f>IF(D2&gt;0, IF(D2-E2=0,"",D2-E2), IF(E2&gt;0,E2,""))</f>
        <v/>
      </c>
      <c r="G2" s="63"/>
      <c r="H2" s="63"/>
      <c r="I2" s="63"/>
      <c r="J2" s="63"/>
      <c r="K2" s="63"/>
      <c r="L2" s="72" t="str">
        <f t="shared" ref="L2:L10" si="0">IF(SUM(G2:K2)=0,"",SUM(G2:K2))</f>
        <v/>
      </c>
      <c r="M2" s="72" t="str">
        <f t="shared" ref="M2:M10" si="1">IF(C2=D2,"",IF(L2="", "", C2-(D2+L2)))</f>
        <v/>
      </c>
    </row>
    <row r="3" spans="1:14" x14ac:dyDescent="0.25">
      <c r="A3" s="63" t="s">
        <v>358</v>
      </c>
      <c r="B3" s="63" t="s">
        <v>55</v>
      </c>
      <c r="C3" s="70">
        <v>1</v>
      </c>
      <c r="D3" s="27">
        <v>1</v>
      </c>
      <c r="E3" s="63"/>
      <c r="F3" s="72">
        <f>IF(D3&gt;0, IF(D3-E3=0,"",D3-E3), IF(E3&gt;0,E3,""))</f>
        <v>1</v>
      </c>
      <c r="G3" s="63">
        <v>1</v>
      </c>
      <c r="H3" s="63"/>
      <c r="I3" s="63"/>
      <c r="J3" s="63"/>
      <c r="K3" s="63"/>
      <c r="L3" s="72">
        <f t="shared" si="0"/>
        <v>1</v>
      </c>
      <c r="M3" s="72" t="str">
        <f t="shared" si="1"/>
        <v/>
      </c>
    </row>
    <row r="4" spans="1:14" x14ac:dyDescent="0.25">
      <c r="A4" s="63" t="s">
        <v>358</v>
      </c>
      <c r="B4" s="63" t="s">
        <v>56</v>
      </c>
      <c r="C4" s="70">
        <v>4</v>
      </c>
      <c r="D4" s="27">
        <v>1</v>
      </c>
      <c r="E4" s="63">
        <v>1</v>
      </c>
      <c r="F4" s="72" t="str">
        <f t="shared" ref="F4:F10" si="2">IF(D4&gt;0, IF(D4-E4=0,"",D4-E4), IF(E4&gt;0,E4,""))</f>
        <v/>
      </c>
      <c r="G4" s="63">
        <v>1</v>
      </c>
      <c r="H4" s="63">
        <v>1</v>
      </c>
      <c r="I4" s="63"/>
      <c r="J4" s="90">
        <v>1</v>
      </c>
      <c r="K4" s="63"/>
      <c r="L4" s="72">
        <f t="shared" si="0"/>
        <v>3</v>
      </c>
      <c r="M4" s="72">
        <f>IF(C4=D4,"",IF(L4="", "", C4-(D4+L4)))</f>
        <v>0</v>
      </c>
    </row>
    <row r="5" spans="1:14" x14ac:dyDescent="0.25">
      <c r="A5" s="63" t="s">
        <v>358</v>
      </c>
      <c r="B5" s="63" t="s">
        <v>57</v>
      </c>
      <c r="C5" s="70">
        <v>1</v>
      </c>
      <c r="D5" s="27">
        <v>1</v>
      </c>
      <c r="E5" s="63"/>
      <c r="F5" s="72">
        <f t="shared" si="2"/>
        <v>1</v>
      </c>
      <c r="G5" s="63">
        <v>1</v>
      </c>
      <c r="H5" s="63"/>
      <c r="I5" s="63"/>
      <c r="J5" s="63"/>
      <c r="K5" s="63"/>
      <c r="L5" s="72">
        <f t="shared" si="0"/>
        <v>1</v>
      </c>
      <c r="M5" s="72" t="str">
        <f t="shared" si="1"/>
        <v/>
      </c>
    </row>
    <row r="6" spans="1:14" x14ac:dyDescent="0.25">
      <c r="A6" s="63" t="s">
        <v>358</v>
      </c>
      <c r="B6" s="63" t="s">
        <v>58</v>
      </c>
      <c r="C6" s="70">
        <v>5</v>
      </c>
      <c r="D6" s="27">
        <v>1</v>
      </c>
      <c r="E6" s="63">
        <v>1</v>
      </c>
      <c r="F6" s="72" t="str">
        <f t="shared" si="2"/>
        <v/>
      </c>
      <c r="G6" s="63">
        <v>2</v>
      </c>
      <c r="H6" s="63">
        <v>2</v>
      </c>
      <c r="I6" s="63"/>
      <c r="J6" s="63"/>
      <c r="K6" s="63"/>
      <c r="L6" s="72">
        <f t="shared" si="0"/>
        <v>4</v>
      </c>
      <c r="M6" s="72">
        <f t="shared" si="1"/>
        <v>0</v>
      </c>
    </row>
    <row r="7" spans="1:14" x14ac:dyDescent="0.25">
      <c r="A7" s="63" t="s">
        <v>358</v>
      </c>
      <c r="B7" s="63" t="s">
        <v>59</v>
      </c>
      <c r="C7" s="70">
        <v>9</v>
      </c>
      <c r="D7" s="27">
        <v>2</v>
      </c>
      <c r="E7" s="63">
        <v>2</v>
      </c>
      <c r="F7" s="72" t="str">
        <f t="shared" si="2"/>
        <v/>
      </c>
      <c r="G7" s="63">
        <v>3</v>
      </c>
      <c r="H7" s="63">
        <v>2</v>
      </c>
      <c r="I7" s="63">
        <v>2</v>
      </c>
      <c r="J7" s="63"/>
      <c r="K7" s="63"/>
      <c r="L7" s="72">
        <f>IF(SUM(G7:K7)=0,"",SUM(G7:K7))</f>
        <v>7</v>
      </c>
      <c r="M7" s="72">
        <f t="shared" si="1"/>
        <v>0</v>
      </c>
    </row>
    <row r="8" spans="1:14" x14ac:dyDescent="0.25">
      <c r="A8" s="63" t="s">
        <v>358</v>
      </c>
      <c r="B8" s="63" t="s">
        <v>60</v>
      </c>
      <c r="C8" s="70">
        <v>0</v>
      </c>
      <c r="D8" s="27">
        <v>0</v>
      </c>
      <c r="E8" s="63"/>
      <c r="F8" s="72" t="str">
        <f t="shared" si="2"/>
        <v/>
      </c>
      <c r="G8" s="63"/>
      <c r="H8" s="63"/>
      <c r="I8" s="63"/>
      <c r="J8" s="63"/>
      <c r="K8" s="63"/>
      <c r="L8" s="72" t="str">
        <f t="shared" si="0"/>
        <v/>
      </c>
      <c r="M8" s="72" t="str">
        <f t="shared" si="1"/>
        <v/>
      </c>
    </row>
    <row r="9" spans="1:14" x14ac:dyDescent="0.25">
      <c r="A9" s="63" t="s">
        <v>358</v>
      </c>
      <c r="B9" s="63" t="s">
        <v>61</v>
      </c>
      <c r="C9" s="70">
        <v>2</v>
      </c>
      <c r="D9" s="27">
        <v>2</v>
      </c>
      <c r="E9" s="63">
        <v>2</v>
      </c>
      <c r="F9" s="72" t="str">
        <f t="shared" si="2"/>
        <v/>
      </c>
      <c r="G9" s="63"/>
      <c r="H9" s="63"/>
      <c r="I9" s="63"/>
      <c r="J9" s="63"/>
      <c r="K9" s="63"/>
      <c r="L9" s="72" t="str">
        <f t="shared" si="0"/>
        <v/>
      </c>
      <c r="M9" s="72" t="str">
        <f t="shared" si="1"/>
        <v/>
      </c>
    </row>
    <row r="10" spans="1:14" x14ac:dyDescent="0.25">
      <c r="A10" s="63" t="s">
        <v>358</v>
      </c>
      <c r="B10" s="63" t="s">
        <v>260</v>
      </c>
      <c r="C10" s="27">
        <v>1</v>
      </c>
      <c r="D10" s="27">
        <v>1</v>
      </c>
      <c r="E10" s="63">
        <v>1</v>
      </c>
      <c r="F10" s="72" t="str">
        <f t="shared" si="2"/>
        <v/>
      </c>
      <c r="G10" s="63"/>
      <c r="H10" s="63"/>
      <c r="I10" s="63"/>
      <c r="J10" s="63"/>
      <c r="K10" s="63"/>
      <c r="L10" s="72" t="str">
        <f t="shared" si="0"/>
        <v/>
      </c>
      <c r="M10" s="72" t="str">
        <f t="shared" si="1"/>
        <v/>
      </c>
      <c r="N10" s="1">
        <f>SUM(E2:E10)+SUM(L2:L10)</f>
        <v>24</v>
      </c>
    </row>
    <row r="11" spans="1:14" x14ac:dyDescent="0.25">
      <c r="A11" s="63"/>
      <c r="B11" s="63" t="s">
        <v>410</v>
      </c>
      <c r="C11" s="71">
        <f>SUM(C2:C10)</f>
        <v>24</v>
      </c>
      <c r="D11" s="71">
        <f t="shared" ref="D11:M11" si="3">SUM(D2:D10)</f>
        <v>10</v>
      </c>
      <c r="E11" s="71">
        <f t="shared" si="3"/>
        <v>8</v>
      </c>
      <c r="F11" s="71">
        <f t="shared" si="3"/>
        <v>2</v>
      </c>
      <c r="G11" s="71">
        <f t="shared" si="3"/>
        <v>8</v>
      </c>
      <c r="H11" s="71">
        <f t="shared" si="3"/>
        <v>5</v>
      </c>
      <c r="I11" s="71"/>
      <c r="J11" s="71">
        <f t="shared" si="3"/>
        <v>1</v>
      </c>
      <c r="K11" s="71">
        <f t="shared" si="3"/>
        <v>0</v>
      </c>
      <c r="L11" s="71">
        <f t="shared" si="3"/>
        <v>16</v>
      </c>
      <c r="M11" s="71">
        <f t="shared" si="3"/>
        <v>0</v>
      </c>
      <c r="N11" s="71"/>
    </row>
    <row r="12" spans="1:14" x14ac:dyDescent="0.25">
      <c r="A12" s="63"/>
      <c r="B12" s="63"/>
      <c r="C12" s="63"/>
      <c r="D12" s="63"/>
      <c r="E12" s="63"/>
      <c r="F12" s="63"/>
      <c r="G12" s="63"/>
      <c r="H12" s="63"/>
      <c r="I12" s="63"/>
      <c r="J12" s="63"/>
      <c r="K12" s="63"/>
      <c r="L12" s="63"/>
      <c r="M12" s="63"/>
      <c r="N12" s="63"/>
    </row>
    <row r="13" spans="1:14" x14ac:dyDescent="0.25">
      <c r="A13" s="63" t="s">
        <v>359</v>
      </c>
      <c r="B13" s="63" t="s">
        <v>54</v>
      </c>
      <c r="C13" s="70">
        <v>1</v>
      </c>
      <c r="D13" s="27">
        <v>1</v>
      </c>
      <c r="E13" s="63">
        <v>1</v>
      </c>
      <c r="F13" s="72" t="str">
        <f>IF(D13&gt;0, IF(D13-E13=0,"",D13-E13), IF(E13&gt;0,E13,""))</f>
        <v/>
      </c>
      <c r="G13" s="63"/>
      <c r="H13" s="63"/>
      <c r="I13" s="63"/>
      <c r="J13" s="63"/>
      <c r="K13" s="63"/>
      <c r="L13" s="72" t="str">
        <f t="shared" ref="L13:L17" si="4">IF(SUM(G13:K13)=0,"",SUM(G13:K13))</f>
        <v/>
      </c>
      <c r="M13" s="72" t="str">
        <f t="shared" ref="M13:M14" si="5">IF(C13=D13,"",IF(L13="", "", C13-(D13+L13)))</f>
        <v/>
      </c>
    </row>
    <row r="14" spans="1:14" x14ac:dyDescent="0.25">
      <c r="A14" s="63" t="s">
        <v>359</v>
      </c>
      <c r="B14" s="63" t="s">
        <v>55</v>
      </c>
      <c r="C14" s="70">
        <v>1</v>
      </c>
      <c r="D14" s="27">
        <v>1</v>
      </c>
      <c r="E14" s="63"/>
      <c r="F14" s="72">
        <f>IF(D14&gt;0, IF(D14-E14=0,"",D14-E14), IF(E14&gt;0,E14,""))</f>
        <v>1</v>
      </c>
      <c r="G14" s="63"/>
      <c r="H14" s="63"/>
      <c r="I14" s="63">
        <v>1</v>
      </c>
      <c r="J14" s="90">
        <v>1</v>
      </c>
      <c r="K14" s="63"/>
      <c r="L14" s="72">
        <f t="shared" si="4"/>
        <v>2</v>
      </c>
      <c r="M14" s="72" t="str">
        <f t="shared" si="5"/>
        <v/>
      </c>
    </row>
    <row r="15" spans="1:14" x14ac:dyDescent="0.25">
      <c r="A15" s="63" t="s">
        <v>359</v>
      </c>
      <c r="B15" s="63" t="s">
        <v>56</v>
      </c>
      <c r="C15" s="70">
        <v>4</v>
      </c>
      <c r="D15" s="27">
        <v>1</v>
      </c>
      <c r="E15" s="63"/>
      <c r="F15" s="72">
        <f t="shared" ref="F15:F20" si="6">IF(D15&gt;0, IF(D15-E15=0,"",D15-E15), IF(E15&gt;0,E15,""))</f>
        <v>1</v>
      </c>
      <c r="G15" s="63">
        <v>1</v>
      </c>
      <c r="H15" s="63"/>
      <c r="I15" s="63">
        <v>1</v>
      </c>
      <c r="J15" s="63">
        <v>1</v>
      </c>
      <c r="K15" s="63"/>
      <c r="L15" s="72">
        <f t="shared" si="4"/>
        <v>3</v>
      </c>
      <c r="M15" s="72">
        <f>IF(C15=D15,"",IF(L15="", "", C15-(D15+L15)))</f>
        <v>0</v>
      </c>
    </row>
    <row r="16" spans="1:14" x14ac:dyDescent="0.25">
      <c r="A16" s="63" t="s">
        <v>359</v>
      </c>
      <c r="B16" s="63" t="s">
        <v>57</v>
      </c>
      <c r="C16" s="70">
        <v>3</v>
      </c>
      <c r="D16" s="27">
        <v>1</v>
      </c>
      <c r="E16" s="63">
        <v>1</v>
      </c>
      <c r="F16" s="72" t="str">
        <f t="shared" si="6"/>
        <v/>
      </c>
      <c r="G16" s="63"/>
      <c r="H16" s="63"/>
      <c r="I16" s="63">
        <v>1</v>
      </c>
      <c r="J16" s="63">
        <v>1</v>
      </c>
      <c r="K16" s="63"/>
      <c r="L16" s="72">
        <f t="shared" si="4"/>
        <v>2</v>
      </c>
      <c r="M16" s="72">
        <f t="shared" ref="M16:M21" si="7">IF(C16=D16,"",IF(L16="", "", C16-(D16+L16)))</f>
        <v>0</v>
      </c>
    </row>
    <row r="17" spans="1:14" x14ac:dyDescent="0.25">
      <c r="A17" s="63" t="s">
        <v>359</v>
      </c>
      <c r="B17" s="63" t="s">
        <v>58</v>
      </c>
      <c r="C17" s="70">
        <v>5</v>
      </c>
      <c r="D17" s="27">
        <v>1</v>
      </c>
      <c r="E17" s="63">
        <v>1</v>
      </c>
      <c r="F17" s="72" t="str">
        <f t="shared" si="6"/>
        <v/>
      </c>
      <c r="G17" s="63">
        <v>1</v>
      </c>
      <c r="H17" s="63"/>
      <c r="I17" s="63"/>
      <c r="J17" s="90">
        <v>3</v>
      </c>
      <c r="K17" s="63"/>
      <c r="L17" s="72">
        <f t="shared" si="4"/>
        <v>4</v>
      </c>
      <c r="M17" s="72">
        <f t="shared" si="7"/>
        <v>0</v>
      </c>
    </row>
    <row r="18" spans="1:14" x14ac:dyDescent="0.25">
      <c r="A18" s="63" t="s">
        <v>359</v>
      </c>
      <c r="B18" s="63" t="s">
        <v>59</v>
      </c>
      <c r="C18" s="70">
        <v>10</v>
      </c>
      <c r="D18" s="27">
        <v>2</v>
      </c>
      <c r="E18" s="63">
        <v>2</v>
      </c>
      <c r="F18" s="72" t="str">
        <f t="shared" si="6"/>
        <v/>
      </c>
      <c r="G18" s="63">
        <v>2</v>
      </c>
      <c r="H18" s="63">
        <v>1</v>
      </c>
      <c r="I18" s="63">
        <v>2</v>
      </c>
      <c r="J18" s="63">
        <v>3</v>
      </c>
      <c r="K18" s="63"/>
      <c r="L18" s="72">
        <f>IF(SUM(G18:K18)=0,"",SUM(G18:K18))</f>
        <v>8</v>
      </c>
      <c r="M18" s="72">
        <f t="shared" si="7"/>
        <v>0</v>
      </c>
    </row>
    <row r="19" spans="1:14" x14ac:dyDescent="0.25">
      <c r="A19" s="63" t="s">
        <v>359</v>
      </c>
      <c r="B19" s="63" t="s">
        <v>60</v>
      </c>
      <c r="C19" s="70">
        <v>0</v>
      </c>
      <c r="D19" s="27">
        <v>0</v>
      </c>
      <c r="E19" s="63"/>
      <c r="F19" s="72" t="str">
        <f t="shared" si="6"/>
        <v/>
      </c>
      <c r="G19" s="63"/>
      <c r="H19" s="63"/>
      <c r="I19" s="63"/>
      <c r="J19" s="63"/>
      <c r="K19" s="63"/>
      <c r="L19" s="72" t="str">
        <f t="shared" ref="L19:L21" si="8">IF(SUM(G19:K19)=0,"",SUM(G19:K19))</f>
        <v/>
      </c>
      <c r="M19" s="72" t="str">
        <f t="shared" si="7"/>
        <v/>
      </c>
    </row>
    <row r="20" spans="1:14" x14ac:dyDescent="0.25">
      <c r="A20" s="63" t="s">
        <v>359</v>
      </c>
      <c r="B20" s="63" t="s">
        <v>61</v>
      </c>
      <c r="C20" s="70">
        <v>2</v>
      </c>
      <c r="D20" s="27">
        <v>2</v>
      </c>
      <c r="E20" s="63">
        <v>2</v>
      </c>
      <c r="F20" s="72" t="str">
        <f t="shared" si="6"/>
        <v/>
      </c>
      <c r="G20" s="63"/>
      <c r="H20" s="63"/>
      <c r="I20" s="63"/>
      <c r="J20" s="63"/>
      <c r="K20" s="63"/>
      <c r="L20" s="72" t="str">
        <f t="shared" si="8"/>
        <v/>
      </c>
      <c r="M20" s="72" t="str">
        <f t="shared" si="7"/>
        <v/>
      </c>
    </row>
    <row r="21" spans="1:14" x14ac:dyDescent="0.25">
      <c r="A21" s="63" t="s">
        <v>359</v>
      </c>
      <c r="B21" s="63" t="s">
        <v>260</v>
      </c>
      <c r="C21" s="27">
        <v>0</v>
      </c>
      <c r="D21" s="27"/>
      <c r="E21" s="63"/>
      <c r="F21" s="72"/>
      <c r="G21" s="63"/>
      <c r="H21" s="63"/>
      <c r="I21" s="63"/>
      <c r="J21" s="63"/>
      <c r="K21" s="63"/>
      <c r="L21" s="72" t="str">
        <f t="shared" si="8"/>
        <v/>
      </c>
      <c r="M21" s="72" t="str">
        <f t="shared" si="7"/>
        <v/>
      </c>
      <c r="N21" s="1">
        <f>SUM(E13:E21)+SUM(L13:L21)</f>
        <v>26</v>
      </c>
    </row>
    <row r="22" spans="1:14" x14ac:dyDescent="0.25">
      <c r="B22" s="63" t="s">
        <v>411</v>
      </c>
      <c r="C22" s="71">
        <f>SUM(C13:C21)</f>
        <v>26</v>
      </c>
      <c r="D22" s="71">
        <f t="shared" ref="D22:M22" si="9">SUM(D13:D21)</f>
        <v>9</v>
      </c>
      <c r="E22" s="71">
        <f t="shared" si="9"/>
        <v>7</v>
      </c>
      <c r="F22" s="71">
        <f t="shared" si="9"/>
        <v>2</v>
      </c>
      <c r="G22" s="71">
        <f t="shared" si="9"/>
        <v>4</v>
      </c>
      <c r="H22" s="71">
        <f t="shared" si="9"/>
        <v>1</v>
      </c>
      <c r="I22" s="71"/>
      <c r="J22" s="71">
        <f t="shared" si="9"/>
        <v>9</v>
      </c>
      <c r="K22" s="71">
        <f t="shared" si="9"/>
        <v>0</v>
      </c>
      <c r="L22" s="71">
        <f t="shared" si="9"/>
        <v>19</v>
      </c>
      <c r="M22" s="71">
        <f t="shared" si="9"/>
        <v>0</v>
      </c>
      <c r="N22" s="71"/>
    </row>
    <row r="24" spans="1:14" x14ac:dyDescent="0.25">
      <c r="A24" s="63" t="s">
        <v>360</v>
      </c>
      <c r="B24" s="63" t="s">
        <v>54</v>
      </c>
      <c r="C24" s="70">
        <v>1</v>
      </c>
      <c r="D24" s="27">
        <v>1</v>
      </c>
      <c r="E24" s="63">
        <v>1</v>
      </c>
      <c r="F24" s="72" t="str">
        <f>IF(D24&gt;0, IF(D24-E24=0,"",D24-E24), IF(E24&gt;0,E24,""))</f>
        <v/>
      </c>
      <c r="G24" s="63"/>
      <c r="H24" s="63"/>
      <c r="I24" s="63"/>
      <c r="J24" s="63"/>
      <c r="K24" s="63"/>
      <c r="L24" s="72" t="str">
        <f t="shared" ref="L24:L28" si="10">IF(SUM(G24:K24)=0,"",SUM(G24:K24))</f>
        <v/>
      </c>
      <c r="M24" s="72" t="str">
        <f t="shared" ref="M24:M25" si="11">IF(C24=D24,"",IF(L24="", "", C24-(D24+L24)))</f>
        <v/>
      </c>
    </row>
    <row r="25" spans="1:14" x14ac:dyDescent="0.25">
      <c r="A25" s="63" t="s">
        <v>360</v>
      </c>
      <c r="B25" s="63" t="s">
        <v>55</v>
      </c>
      <c r="C25" s="70">
        <v>1</v>
      </c>
      <c r="D25" s="27">
        <v>1</v>
      </c>
      <c r="E25" s="63"/>
      <c r="F25" s="72">
        <f>IF(D25&gt;0, IF(D25-E25=0,"",D25-E25), IF(E25&gt;0,E25,""))</f>
        <v>1</v>
      </c>
      <c r="G25" s="63"/>
      <c r="H25" s="63"/>
      <c r="I25" s="63"/>
      <c r="J25" s="63">
        <v>1</v>
      </c>
      <c r="K25" s="63"/>
      <c r="L25" s="72">
        <f t="shared" si="10"/>
        <v>1</v>
      </c>
      <c r="M25" s="72" t="str">
        <f t="shared" si="11"/>
        <v/>
      </c>
    </row>
    <row r="26" spans="1:14" x14ac:dyDescent="0.25">
      <c r="A26" s="63" t="s">
        <v>360</v>
      </c>
      <c r="B26" s="63" t="s">
        <v>56</v>
      </c>
      <c r="C26" s="70">
        <v>5</v>
      </c>
      <c r="D26" s="27">
        <v>1</v>
      </c>
      <c r="E26" s="63">
        <v>1</v>
      </c>
      <c r="F26" s="72" t="str">
        <f t="shared" ref="F26:F32" si="12">IF(D26&gt;0, IF(D26-E26=0,"",D26-E26), IF(E26&gt;0,E26,""))</f>
        <v/>
      </c>
      <c r="G26" s="63">
        <v>1</v>
      </c>
      <c r="H26" s="63"/>
      <c r="I26" s="63">
        <v>1</v>
      </c>
      <c r="J26" s="63">
        <v>2</v>
      </c>
      <c r="K26" s="63"/>
      <c r="L26" s="72">
        <f t="shared" si="10"/>
        <v>4</v>
      </c>
      <c r="M26" s="72">
        <f>IF(C26=D26,"",IF(L26="", "", C26-(D26+L26)))</f>
        <v>0</v>
      </c>
    </row>
    <row r="27" spans="1:14" x14ac:dyDescent="0.25">
      <c r="A27" s="63" t="s">
        <v>360</v>
      </c>
      <c r="B27" s="63" t="s">
        <v>57</v>
      </c>
      <c r="C27" s="70">
        <v>2</v>
      </c>
      <c r="D27" s="27">
        <v>1</v>
      </c>
      <c r="E27" s="63"/>
      <c r="F27" s="91">
        <f t="shared" si="12"/>
        <v>1</v>
      </c>
      <c r="G27" s="63"/>
      <c r="H27" s="63"/>
      <c r="I27" s="63">
        <v>1</v>
      </c>
      <c r="J27" s="63"/>
      <c r="K27" s="63"/>
      <c r="L27" s="72">
        <f t="shared" si="10"/>
        <v>1</v>
      </c>
      <c r="M27" s="72">
        <f t="shared" ref="M27:M32" si="13">IF(C27=D27,"",IF(L27="", "", C27-(D27+L27)))</f>
        <v>0</v>
      </c>
    </row>
    <row r="28" spans="1:14" x14ac:dyDescent="0.25">
      <c r="A28" s="63" t="s">
        <v>360</v>
      </c>
      <c r="B28" s="63" t="s">
        <v>58</v>
      </c>
      <c r="C28" s="70">
        <v>5</v>
      </c>
      <c r="D28" s="27">
        <v>1</v>
      </c>
      <c r="E28" s="63">
        <v>1</v>
      </c>
      <c r="F28" s="72" t="str">
        <f t="shared" si="12"/>
        <v/>
      </c>
      <c r="G28" s="63"/>
      <c r="H28" s="63"/>
      <c r="I28" s="63">
        <v>1</v>
      </c>
      <c r="J28" s="90">
        <v>3</v>
      </c>
      <c r="K28" s="63"/>
      <c r="L28" s="72">
        <f t="shared" si="10"/>
        <v>4</v>
      </c>
      <c r="M28" s="72">
        <f t="shared" si="13"/>
        <v>0</v>
      </c>
    </row>
    <row r="29" spans="1:14" x14ac:dyDescent="0.25">
      <c r="A29" s="63" t="s">
        <v>360</v>
      </c>
      <c r="B29" s="63" t="s">
        <v>59</v>
      </c>
      <c r="C29" s="70">
        <v>10</v>
      </c>
      <c r="D29" s="27">
        <v>2</v>
      </c>
      <c r="E29" s="63">
        <v>2</v>
      </c>
      <c r="F29" s="72" t="str">
        <f t="shared" si="12"/>
        <v/>
      </c>
      <c r="G29" s="63">
        <v>1</v>
      </c>
      <c r="H29" s="63">
        <v>1</v>
      </c>
      <c r="I29" s="63">
        <v>2</v>
      </c>
      <c r="J29" s="63">
        <v>4</v>
      </c>
      <c r="K29" s="63"/>
      <c r="L29" s="72">
        <f>IF(SUM(G29:K29)=0,"",SUM(G29:K29))</f>
        <v>8</v>
      </c>
      <c r="M29" s="72">
        <f t="shared" si="13"/>
        <v>0</v>
      </c>
    </row>
    <row r="30" spans="1:14" x14ac:dyDescent="0.25">
      <c r="A30" s="63" t="s">
        <v>360</v>
      </c>
      <c r="B30" s="63" t="s">
        <v>60</v>
      </c>
      <c r="C30" s="70">
        <v>0</v>
      </c>
      <c r="D30" s="27">
        <v>0</v>
      </c>
      <c r="E30" s="63"/>
      <c r="F30" s="72" t="str">
        <f t="shared" si="12"/>
        <v/>
      </c>
      <c r="G30" s="63"/>
      <c r="H30" s="63"/>
      <c r="I30" s="63"/>
      <c r="J30" s="63"/>
      <c r="K30" s="63"/>
      <c r="L30" s="72" t="str">
        <f t="shared" ref="L30:L32" si="14">IF(SUM(G30:K30)=0,"",SUM(G30:K30))</f>
        <v/>
      </c>
      <c r="M30" s="72" t="str">
        <f t="shared" si="13"/>
        <v/>
      </c>
    </row>
    <row r="31" spans="1:14" x14ac:dyDescent="0.25">
      <c r="A31" s="63" t="s">
        <v>360</v>
      </c>
      <c r="B31" s="63" t="s">
        <v>61</v>
      </c>
      <c r="C31" s="70">
        <v>2</v>
      </c>
      <c r="D31" s="27">
        <v>2</v>
      </c>
      <c r="E31" s="63">
        <v>2</v>
      </c>
      <c r="F31" s="72" t="str">
        <f t="shared" si="12"/>
        <v/>
      </c>
      <c r="G31" s="63"/>
      <c r="H31" s="63"/>
      <c r="I31" s="63"/>
      <c r="J31" s="63"/>
      <c r="K31" s="63"/>
      <c r="L31" s="72" t="str">
        <f t="shared" si="14"/>
        <v/>
      </c>
      <c r="M31" s="72" t="str">
        <f t="shared" si="13"/>
        <v/>
      </c>
    </row>
    <row r="32" spans="1:14" x14ac:dyDescent="0.25">
      <c r="A32" s="63" t="s">
        <v>360</v>
      </c>
      <c r="B32" s="63" t="s">
        <v>260</v>
      </c>
      <c r="C32" s="27">
        <v>0</v>
      </c>
      <c r="D32" s="27"/>
      <c r="E32" s="63"/>
      <c r="F32" s="72" t="str">
        <f t="shared" si="12"/>
        <v/>
      </c>
      <c r="G32" s="63"/>
      <c r="H32" s="63"/>
      <c r="I32" s="63"/>
      <c r="J32" s="63"/>
      <c r="K32" s="63"/>
      <c r="L32" s="72" t="str">
        <f t="shared" si="14"/>
        <v/>
      </c>
      <c r="M32" s="72" t="str">
        <f t="shared" si="13"/>
        <v/>
      </c>
      <c r="N32" s="1">
        <f>SUM(E24:E32)+SUM(L24:L32)</f>
        <v>25</v>
      </c>
    </row>
    <row r="33" spans="2:14" x14ac:dyDescent="0.25">
      <c r="B33" s="63" t="s">
        <v>412</v>
      </c>
      <c r="C33" s="71">
        <f>SUM(C24:C32)</f>
        <v>26</v>
      </c>
      <c r="D33" s="71">
        <f t="shared" ref="D33:M33" si="15">SUM(D24:D32)</f>
        <v>9</v>
      </c>
      <c r="E33" s="71">
        <f t="shared" si="15"/>
        <v>7</v>
      </c>
      <c r="F33" s="71">
        <f t="shared" si="15"/>
        <v>2</v>
      </c>
      <c r="G33" s="71">
        <f t="shared" si="15"/>
        <v>2</v>
      </c>
      <c r="H33" s="71">
        <f t="shared" si="15"/>
        <v>1</v>
      </c>
      <c r="I33" s="71"/>
      <c r="J33" s="71">
        <f t="shared" si="15"/>
        <v>10</v>
      </c>
      <c r="K33" s="71">
        <f t="shared" si="15"/>
        <v>0</v>
      </c>
      <c r="L33" s="71">
        <f t="shared" si="15"/>
        <v>18</v>
      </c>
      <c r="M33" s="71">
        <f t="shared" si="15"/>
        <v>0</v>
      </c>
      <c r="N33" s="71"/>
    </row>
  </sheetData>
  <phoneticPr fontId="20"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2"/>
  <sheetViews>
    <sheetView zoomScale="110" zoomScaleNormal="110" workbookViewId="0">
      <selection activeCell="B27" sqref="B27:G35"/>
    </sheetView>
  </sheetViews>
  <sheetFormatPr defaultColWidth="8.85546875" defaultRowHeight="15" x14ac:dyDescent="0.25"/>
  <cols>
    <col min="1" max="1" width="10.85546875" bestFit="1" customWidth="1"/>
    <col min="2" max="2" width="28.7109375" bestFit="1" customWidth="1"/>
    <col min="3" max="3" width="36" style="22" customWidth="1"/>
    <col min="4" max="4" width="31.42578125" bestFit="1" customWidth="1"/>
    <col min="5" max="5" width="4.140625" bestFit="1" customWidth="1"/>
    <col min="6" max="6" width="12" bestFit="1" customWidth="1"/>
    <col min="7" max="7" width="14" bestFit="1" customWidth="1"/>
  </cols>
  <sheetData>
    <row r="1" spans="1:7" x14ac:dyDescent="0.25">
      <c r="A1" s="5" t="s">
        <v>62</v>
      </c>
      <c r="B1" s="5" t="s">
        <v>63</v>
      </c>
      <c r="C1" s="21" t="s">
        <v>64</v>
      </c>
      <c r="D1" s="5" t="s">
        <v>65</v>
      </c>
      <c r="E1" s="5" t="s">
        <v>66</v>
      </c>
      <c r="F1" s="5" t="s">
        <v>67</v>
      </c>
      <c r="G1" s="5" t="s">
        <v>68</v>
      </c>
    </row>
    <row r="2" spans="1:7" x14ac:dyDescent="0.25">
      <c r="A2" s="5" t="s">
        <v>358</v>
      </c>
      <c r="B2" s="5" t="s">
        <v>365</v>
      </c>
      <c r="C2" s="5" t="s">
        <v>54</v>
      </c>
      <c r="D2" s="9" t="s">
        <v>366</v>
      </c>
      <c r="E2" s="5" t="s">
        <v>69</v>
      </c>
      <c r="F2" s="5" t="s">
        <v>70</v>
      </c>
      <c r="G2" s="5" t="s">
        <v>367</v>
      </c>
    </row>
    <row r="3" spans="1:7" x14ac:dyDescent="0.25">
      <c r="A3" s="63" t="s">
        <v>358</v>
      </c>
      <c r="B3" s="5" t="s">
        <v>374</v>
      </c>
      <c r="C3" s="5" t="s">
        <v>72</v>
      </c>
      <c r="D3" s="10" t="s">
        <v>369</v>
      </c>
      <c r="E3" s="5" t="s">
        <v>73</v>
      </c>
      <c r="F3" s="5" t="s">
        <v>70</v>
      </c>
      <c r="G3" s="5" t="s">
        <v>71</v>
      </c>
    </row>
    <row r="4" spans="1:7" x14ac:dyDescent="0.25">
      <c r="A4" s="63" t="s">
        <v>358</v>
      </c>
      <c r="B4" s="5" t="s">
        <v>368</v>
      </c>
      <c r="C4" s="5" t="s">
        <v>72</v>
      </c>
      <c r="D4" s="10" t="s">
        <v>370</v>
      </c>
      <c r="E4" s="5" t="s">
        <v>69</v>
      </c>
      <c r="F4" s="5" t="s">
        <v>70</v>
      </c>
      <c r="G4" s="5" t="s">
        <v>71</v>
      </c>
    </row>
    <row r="5" spans="1:7" x14ac:dyDescent="0.25">
      <c r="A5" s="63" t="s">
        <v>358</v>
      </c>
      <c r="B5" s="63" t="s">
        <v>371</v>
      </c>
      <c r="C5" s="63" t="s">
        <v>372</v>
      </c>
      <c r="D5" s="10" t="s">
        <v>376</v>
      </c>
      <c r="E5" s="63" t="s">
        <v>69</v>
      </c>
      <c r="F5" s="63" t="s">
        <v>70</v>
      </c>
      <c r="G5" s="63" t="s">
        <v>378</v>
      </c>
    </row>
    <row r="6" spans="1:7" x14ac:dyDescent="0.25">
      <c r="A6" s="63" t="s">
        <v>358</v>
      </c>
      <c r="B6" s="63" t="s">
        <v>375</v>
      </c>
      <c r="C6" s="63" t="s">
        <v>373</v>
      </c>
      <c r="D6" s="10" t="s">
        <v>377</v>
      </c>
      <c r="E6" s="63" t="s">
        <v>73</v>
      </c>
      <c r="F6" s="63" t="s">
        <v>70</v>
      </c>
      <c r="G6" s="63" t="s">
        <v>71</v>
      </c>
    </row>
    <row r="7" spans="1:7" x14ac:dyDescent="0.25">
      <c r="A7" s="63" t="s">
        <v>358</v>
      </c>
      <c r="B7" s="5" t="s">
        <v>379</v>
      </c>
      <c r="C7" s="5" t="s">
        <v>74</v>
      </c>
      <c r="D7" s="10" t="s">
        <v>381</v>
      </c>
      <c r="E7" s="5" t="s">
        <v>69</v>
      </c>
      <c r="F7" s="5" t="s">
        <v>70</v>
      </c>
      <c r="G7" s="5" t="s">
        <v>71</v>
      </c>
    </row>
    <row r="8" spans="1:7" x14ac:dyDescent="0.25">
      <c r="A8" s="63" t="s">
        <v>358</v>
      </c>
      <c r="B8" s="5" t="s">
        <v>382</v>
      </c>
      <c r="C8" s="5" t="s">
        <v>75</v>
      </c>
      <c r="D8" s="10" t="s">
        <v>380</v>
      </c>
      <c r="E8" s="5" t="s">
        <v>69</v>
      </c>
      <c r="F8" s="5" t="s">
        <v>70</v>
      </c>
      <c r="G8" s="5" t="s">
        <v>71</v>
      </c>
    </row>
    <row r="9" spans="1:7" x14ac:dyDescent="0.25">
      <c r="A9" s="63"/>
      <c r="B9" s="5"/>
      <c r="C9" s="5"/>
      <c r="D9" s="10"/>
      <c r="E9" s="5"/>
      <c r="F9" s="5"/>
      <c r="G9" s="5"/>
    </row>
    <row r="10" spans="1:7" x14ac:dyDescent="0.25">
      <c r="A10" s="63"/>
      <c r="B10" s="5"/>
      <c r="C10" s="5"/>
      <c r="D10" s="61"/>
      <c r="E10" s="62"/>
      <c r="F10" s="5"/>
      <c r="G10" s="5"/>
    </row>
    <row r="11" spans="1:7" x14ac:dyDescent="0.25">
      <c r="A11" s="63"/>
      <c r="B11" s="5"/>
      <c r="C11" s="5"/>
      <c r="D11" s="61"/>
      <c r="E11" s="62"/>
      <c r="F11" s="5"/>
      <c r="G11" s="5"/>
    </row>
    <row r="12" spans="1:7" x14ac:dyDescent="0.25">
      <c r="A12" s="63"/>
      <c r="B12" s="5"/>
      <c r="C12" s="5"/>
      <c r="D12" s="19"/>
      <c r="E12" s="62"/>
      <c r="F12" s="63"/>
      <c r="G12" s="5"/>
    </row>
    <row r="13" spans="1:7" x14ac:dyDescent="0.25">
      <c r="A13" s="63"/>
      <c r="B13" s="5"/>
      <c r="C13" s="5"/>
      <c r="D13" s="19"/>
      <c r="E13" s="62"/>
      <c r="F13" s="63"/>
      <c r="G13" s="5"/>
    </row>
    <row r="14" spans="1:7" x14ac:dyDescent="0.25">
      <c r="A14" s="63" t="s">
        <v>359</v>
      </c>
      <c r="B14" s="63" t="s">
        <v>413</v>
      </c>
      <c r="C14" s="63" t="s">
        <v>54</v>
      </c>
      <c r="D14" s="9"/>
      <c r="E14" s="63"/>
      <c r="F14" s="63"/>
      <c r="G14" s="63"/>
    </row>
    <row r="15" spans="1:7" x14ac:dyDescent="0.25">
      <c r="A15" s="63" t="s">
        <v>359</v>
      </c>
      <c r="B15" s="63"/>
      <c r="C15" s="63"/>
      <c r="D15" s="10"/>
      <c r="E15" s="63"/>
      <c r="F15" s="63"/>
      <c r="G15" s="63"/>
    </row>
    <row r="16" spans="1:7" x14ac:dyDescent="0.25">
      <c r="A16" s="63" t="s">
        <v>359</v>
      </c>
      <c r="B16" s="63"/>
      <c r="C16" s="63"/>
      <c r="D16" s="10"/>
      <c r="E16" s="63"/>
      <c r="F16" s="63"/>
      <c r="G16" s="63"/>
    </row>
    <row r="17" spans="1:7" x14ac:dyDescent="0.25">
      <c r="A17" s="63" t="s">
        <v>359</v>
      </c>
      <c r="B17" s="63"/>
      <c r="C17" s="63"/>
      <c r="D17" s="10"/>
      <c r="E17" s="63"/>
      <c r="F17" s="63"/>
      <c r="G17" s="63"/>
    </row>
    <row r="18" spans="1:7" x14ac:dyDescent="0.25">
      <c r="A18" s="63" t="s">
        <v>359</v>
      </c>
      <c r="B18" s="63"/>
      <c r="C18" s="63"/>
      <c r="D18" s="10"/>
      <c r="E18" s="63"/>
      <c r="F18" s="63"/>
      <c r="G18" s="63"/>
    </row>
    <row r="19" spans="1:7" ht="15.75" customHeight="1" x14ac:dyDescent="0.25">
      <c r="A19" s="63" t="s">
        <v>359</v>
      </c>
      <c r="B19" s="63"/>
      <c r="C19" s="63"/>
      <c r="D19" s="10"/>
      <c r="E19" s="63"/>
      <c r="F19" s="63"/>
      <c r="G19" s="63"/>
    </row>
    <row r="20" spans="1:7" ht="15.75" customHeight="1" x14ac:dyDescent="0.25">
      <c r="A20" s="63" t="s">
        <v>359</v>
      </c>
      <c r="B20" s="63"/>
      <c r="C20" s="63"/>
      <c r="D20" s="10"/>
      <c r="E20" s="63"/>
      <c r="F20" s="63"/>
      <c r="G20" s="63"/>
    </row>
    <row r="21" spans="1:7" x14ac:dyDescent="0.25">
      <c r="A21" s="12"/>
      <c r="B21" s="12"/>
      <c r="C21" s="20"/>
      <c r="D21" s="11"/>
      <c r="E21" s="5"/>
      <c r="F21" s="11"/>
      <c r="G21" s="5"/>
    </row>
    <row r="22" spans="1:7" x14ac:dyDescent="0.25">
      <c r="A22" s="12"/>
      <c r="B22" s="12"/>
      <c r="C22" s="20"/>
      <c r="D22" s="11"/>
      <c r="E22" s="5"/>
      <c r="F22" s="5"/>
      <c r="G22" s="5"/>
    </row>
    <row r="26" spans="1:7" x14ac:dyDescent="0.25">
      <c r="A26" s="63" t="s">
        <v>360</v>
      </c>
      <c r="B26" s="63" t="s">
        <v>414</v>
      </c>
      <c r="C26" s="63" t="s">
        <v>54</v>
      </c>
      <c r="D26" s="9"/>
      <c r="E26" s="63"/>
      <c r="F26" s="63"/>
      <c r="G26" s="63"/>
    </row>
    <row r="27" spans="1:7" x14ac:dyDescent="0.25">
      <c r="A27" s="63" t="s">
        <v>360</v>
      </c>
      <c r="B27" s="63"/>
      <c r="C27" s="63"/>
      <c r="D27" s="10"/>
      <c r="E27" s="63"/>
      <c r="F27" s="63"/>
      <c r="G27" s="63"/>
    </row>
    <row r="28" spans="1:7" x14ac:dyDescent="0.25">
      <c r="A28" s="63" t="s">
        <v>360</v>
      </c>
      <c r="B28" s="63"/>
      <c r="C28" s="63"/>
      <c r="D28" s="10"/>
      <c r="E28" s="63"/>
      <c r="F28" s="63"/>
      <c r="G28" s="63"/>
    </row>
    <row r="29" spans="1:7" x14ac:dyDescent="0.25">
      <c r="A29" s="63" t="s">
        <v>360</v>
      </c>
      <c r="B29" s="63"/>
      <c r="C29" s="63"/>
      <c r="D29" s="10"/>
      <c r="E29" s="63"/>
      <c r="F29" s="63"/>
      <c r="G29" s="63"/>
    </row>
    <row r="30" spans="1:7" x14ac:dyDescent="0.25">
      <c r="A30" s="63" t="s">
        <v>360</v>
      </c>
      <c r="B30" s="63"/>
      <c r="C30" s="63"/>
      <c r="D30" s="10"/>
      <c r="E30" s="63"/>
      <c r="F30" s="63"/>
      <c r="G30" s="63"/>
    </row>
    <row r="31" spans="1:7" x14ac:dyDescent="0.25">
      <c r="A31" s="63" t="s">
        <v>360</v>
      </c>
      <c r="B31" s="63"/>
      <c r="C31" s="63"/>
      <c r="D31" s="10"/>
      <c r="E31" s="63"/>
      <c r="F31" s="63"/>
      <c r="G31" s="63"/>
    </row>
    <row r="32" spans="1:7" x14ac:dyDescent="0.25">
      <c r="A32" s="63" t="s">
        <v>360</v>
      </c>
      <c r="B32" s="63"/>
      <c r="C32" s="63"/>
      <c r="D32" s="10"/>
      <c r="E32" s="63"/>
      <c r="F32" s="63"/>
      <c r="G32" s="63"/>
    </row>
  </sheetData>
  <phoneticPr fontId="20" type="noConversion"/>
  <hyperlinks>
    <hyperlink ref="D2" r:id="rId1" xr:uid="{00000000-0004-0000-0500-000000000000}"/>
    <hyperlink ref="D8" r:id="rId2" xr:uid="{00000000-0004-0000-0500-000002000000}"/>
    <hyperlink ref="D3" r:id="rId3" xr:uid="{344C63E3-9A65-4114-8BCF-CCA318E8278B}"/>
    <hyperlink ref="D4" r:id="rId4" xr:uid="{1232EF87-C1AD-4F97-A6FA-8655B6659B48}"/>
    <hyperlink ref="D7" r:id="rId5" xr:uid="{4E0501A0-15D5-4D15-A36B-F94CD611A446}"/>
    <hyperlink ref="D6" r:id="rId6" xr:uid="{320A8DDA-E427-4898-B165-B19CDF6DA3AA}"/>
  </hyperlinks>
  <pageMargins left="0.7" right="0.7" top="0.75" bottom="0.75" header="0.3" footer="0.3"/>
  <pageSetup paperSize="9" orientation="portrait"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DB333-50A2-4CAA-8317-BF28EB7B36A2}">
  <dimension ref="A1:E32"/>
  <sheetViews>
    <sheetView workbookViewId="0">
      <selection activeCell="B28" sqref="B28"/>
    </sheetView>
  </sheetViews>
  <sheetFormatPr defaultColWidth="8.85546875" defaultRowHeight="15" x14ac:dyDescent="0.25"/>
  <cols>
    <col min="1" max="1" width="26" bestFit="1" customWidth="1"/>
    <col min="2" max="2" width="62.28515625" customWidth="1"/>
    <col min="3" max="3" width="48" bestFit="1" customWidth="1"/>
    <col min="4" max="4" width="65.28515625" bestFit="1" customWidth="1"/>
    <col min="5" max="5" width="22.140625" bestFit="1" customWidth="1"/>
  </cols>
  <sheetData>
    <row r="1" spans="1:5" x14ac:dyDescent="0.25">
      <c r="A1" s="1" t="s">
        <v>314</v>
      </c>
      <c r="B1" s="1" t="s">
        <v>315</v>
      </c>
      <c r="C1" s="1" t="s">
        <v>316</v>
      </c>
      <c r="D1" s="67" t="s">
        <v>317</v>
      </c>
      <c r="E1" s="1" t="s">
        <v>337</v>
      </c>
    </row>
    <row r="2" spans="1:5" x14ac:dyDescent="0.25">
      <c r="A2" s="18">
        <v>3587</v>
      </c>
      <c r="B2" s="66" t="s">
        <v>290</v>
      </c>
      <c r="C2" s="66" t="s">
        <v>291</v>
      </c>
      <c r="D2" s="18" t="s">
        <v>338</v>
      </c>
      <c r="E2" s="18" t="s">
        <v>347</v>
      </c>
    </row>
    <row r="3" spans="1:5" x14ac:dyDescent="0.25">
      <c r="A3" s="18">
        <v>3588</v>
      </c>
      <c r="B3" s="66" t="s">
        <v>292</v>
      </c>
      <c r="C3" s="66" t="s">
        <v>293</v>
      </c>
      <c r="D3" s="18" t="s">
        <v>338</v>
      </c>
      <c r="E3" s="18" t="s">
        <v>347</v>
      </c>
    </row>
    <row r="4" spans="1:5" x14ac:dyDescent="0.25">
      <c r="A4" s="18">
        <v>3596</v>
      </c>
      <c r="B4" s="66" t="s">
        <v>294</v>
      </c>
      <c r="C4" s="66" t="s">
        <v>294</v>
      </c>
      <c r="D4" s="18" t="s">
        <v>338</v>
      </c>
      <c r="E4" s="18" t="s">
        <v>347</v>
      </c>
    </row>
    <row r="5" spans="1:5" x14ac:dyDescent="0.25">
      <c r="A5" s="18">
        <v>3597</v>
      </c>
      <c r="B5" s="66" t="s">
        <v>295</v>
      </c>
      <c r="C5" s="66" t="s">
        <v>296</v>
      </c>
      <c r="D5" s="18" t="s">
        <v>338</v>
      </c>
      <c r="E5" s="18" t="s">
        <v>347</v>
      </c>
    </row>
    <row r="6" spans="1:5" x14ac:dyDescent="0.25">
      <c r="A6" s="18">
        <v>3598</v>
      </c>
      <c r="B6" s="66" t="s">
        <v>297</v>
      </c>
      <c r="C6" s="66" t="s">
        <v>298</v>
      </c>
      <c r="D6" s="18" t="s">
        <v>339</v>
      </c>
      <c r="E6" s="18" t="s">
        <v>347</v>
      </c>
    </row>
    <row r="7" spans="1:5" x14ac:dyDescent="0.25">
      <c r="A7" s="18">
        <v>3599</v>
      </c>
      <c r="B7" s="66" t="s">
        <v>299</v>
      </c>
      <c r="C7" s="66" t="s">
        <v>300</v>
      </c>
      <c r="D7" s="18" t="s">
        <v>339</v>
      </c>
      <c r="E7" s="18" t="s">
        <v>347</v>
      </c>
    </row>
    <row r="8" spans="1:5" x14ac:dyDescent="0.25">
      <c r="A8" s="18">
        <v>3031</v>
      </c>
      <c r="B8" s="66" t="s">
        <v>301</v>
      </c>
      <c r="C8" s="66" t="s">
        <v>302</v>
      </c>
      <c r="D8" s="18" t="s">
        <v>338</v>
      </c>
      <c r="E8" s="18" t="s">
        <v>347</v>
      </c>
    </row>
    <row r="9" spans="1:5" x14ac:dyDescent="0.25">
      <c r="A9" s="18">
        <v>3032</v>
      </c>
      <c r="B9" s="66" t="s">
        <v>303</v>
      </c>
      <c r="C9" s="66" t="s">
        <v>304</v>
      </c>
      <c r="D9" s="18" t="s">
        <v>338</v>
      </c>
      <c r="E9" s="18" t="s">
        <v>347</v>
      </c>
    </row>
    <row r="10" spans="1:5" x14ac:dyDescent="0.25">
      <c r="A10" s="18">
        <v>3033</v>
      </c>
      <c r="B10" s="66" t="s">
        <v>305</v>
      </c>
      <c r="C10" s="66" t="s">
        <v>306</v>
      </c>
      <c r="D10" s="18" t="s">
        <v>338</v>
      </c>
      <c r="E10" s="18" t="s">
        <v>347</v>
      </c>
    </row>
    <row r="11" spans="1:5" x14ac:dyDescent="0.25">
      <c r="A11" s="18">
        <v>3034</v>
      </c>
      <c r="B11" s="66" t="s">
        <v>307</v>
      </c>
      <c r="C11" s="66" t="s">
        <v>308</v>
      </c>
      <c r="D11" s="18" t="s">
        <v>338</v>
      </c>
      <c r="E11" s="18" t="s">
        <v>347</v>
      </c>
    </row>
    <row r="12" spans="1:5" x14ac:dyDescent="0.25">
      <c r="A12" s="18">
        <v>3548</v>
      </c>
      <c r="B12" s="66" t="s">
        <v>309</v>
      </c>
      <c r="C12" s="66" t="s">
        <v>310</v>
      </c>
      <c r="D12" s="18" t="s">
        <v>338</v>
      </c>
      <c r="E12" s="18" t="s">
        <v>347</v>
      </c>
    </row>
    <row r="13" spans="1:5" x14ac:dyDescent="0.25">
      <c r="A13" s="18">
        <v>3549</v>
      </c>
      <c r="B13" s="66" t="s">
        <v>311</v>
      </c>
      <c r="C13" s="66" t="s">
        <v>310</v>
      </c>
      <c r="D13" s="18" t="s">
        <v>338</v>
      </c>
      <c r="E13" s="18" t="s">
        <v>347</v>
      </c>
    </row>
    <row r="14" spans="1:5" x14ac:dyDescent="0.25">
      <c r="A14" s="18">
        <v>3136</v>
      </c>
      <c r="B14" s="66" t="s">
        <v>312</v>
      </c>
      <c r="C14" s="66" t="s">
        <v>313</v>
      </c>
      <c r="D14" s="18" t="s">
        <v>338</v>
      </c>
      <c r="E14" s="18" t="s">
        <v>347</v>
      </c>
    </row>
    <row r="15" spans="1:5" x14ac:dyDescent="0.25">
      <c r="A15" s="18">
        <v>2105</v>
      </c>
      <c r="B15" s="66" t="s">
        <v>318</v>
      </c>
      <c r="C15" s="66" t="s">
        <v>319</v>
      </c>
      <c r="D15" s="18" t="s">
        <v>333</v>
      </c>
      <c r="E15" s="18" t="s">
        <v>347</v>
      </c>
    </row>
    <row r="16" spans="1:5" x14ac:dyDescent="0.25">
      <c r="A16" s="18">
        <v>2121</v>
      </c>
      <c r="B16" s="66" t="s">
        <v>320</v>
      </c>
      <c r="C16" s="66" t="s">
        <v>320</v>
      </c>
      <c r="D16" s="18" t="s">
        <v>333</v>
      </c>
      <c r="E16" s="18" t="s">
        <v>347</v>
      </c>
    </row>
    <row r="17" spans="1:5" x14ac:dyDescent="0.25">
      <c r="A17" s="18">
        <v>2133</v>
      </c>
      <c r="B17" s="66" t="s">
        <v>321</v>
      </c>
      <c r="C17" s="66" t="s">
        <v>321</v>
      </c>
      <c r="D17" s="18" t="s">
        <v>333</v>
      </c>
      <c r="E17" s="18" t="s">
        <v>347</v>
      </c>
    </row>
    <row r="18" spans="1:5" x14ac:dyDescent="0.25">
      <c r="A18" s="18">
        <v>2152</v>
      </c>
      <c r="B18" s="66" t="s">
        <v>322</v>
      </c>
      <c r="C18" s="66" t="s">
        <v>322</v>
      </c>
      <c r="D18" s="18" t="s">
        <v>333</v>
      </c>
      <c r="E18" s="18" t="s">
        <v>347</v>
      </c>
    </row>
    <row r="19" spans="1:5" x14ac:dyDescent="0.25">
      <c r="A19" s="18">
        <v>2154</v>
      </c>
      <c r="B19" s="66" t="s">
        <v>323</v>
      </c>
      <c r="C19" s="66" t="s">
        <v>323</v>
      </c>
      <c r="D19" s="18" t="s">
        <v>333</v>
      </c>
      <c r="E19" s="18" t="s">
        <v>347</v>
      </c>
    </row>
    <row r="20" spans="1:5" x14ac:dyDescent="0.25">
      <c r="A20" s="18">
        <v>2314</v>
      </c>
      <c r="B20" s="66" t="s">
        <v>324</v>
      </c>
      <c r="C20" s="66" t="s">
        <v>324</v>
      </c>
      <c r="D20" s="18" t="s">
        <v>333</v>
      </c>
      <c r="E20" s="18" t="s">
        <v>347</v>
      </c>
    </row>
    <row r="21" spans="1:5" x14ac:dyDescent="0.25">
      <c r="A21" s="18">
        <v>2375</v>
      </c>
      <c r="B21" s="66" t="s">
        <v>325</v>
      </c>
      <c r="C21" s="66" t="s">
        <v>325</v>
      </c>
      <c r="D21" s="18" t="s">
        <v>334</v>
      </c>
      <c r="E21" s="18" t="s">
        <v>347</v>
      </c>
    </row>
    <row r="22" spans="1:5" x14ac:dyDescent="0.25">
      <c r="A22" s="18">
        <v>2410</v>
      </c>
      <c r="B22" s="66" t="s">
        <v>326</v>
      </c>
      <c r="C22" s="66" t="s">
        <v>327</v>
      </c>
      <c r="D22" s="18" t="s">
        <v>335</v>
      </c>
      <c r="E22" s="18" t="s">
        <v>347</v>
      </c>
    </row>
    <row r="23" spans="1:5" x14ac:dyDescent="0.25">
      <c r="A23" s="18">
        <v>2502</v>
      </c>
      <c r="B23" s="66" t="s">
        <v>328</v>
      </c>
      <c r="C23" s="66" t="s">
        <v>329</v>
      </c>
      <c r="D23" s="18" t="s">
        <v>336</v>
      </c>
      <c r="E23" s="18" t="s">
        <v>347</v>
      </c>
    </row>
    <row r="24" spans="1:5" x14ac:dyDescent="0.25">
      <c r="A24" s="18">
        <v>7114</v>
      </c>
      <c r="B24" s="66" t="s">
        <v>330</v>
      </c>
      <c r="C24" s="66" t="s">
        <v>330</v>
      </c>
      <c r="D24" s="18" t="s">
        <v>346</v>
      </c>
      <c r="E24" s="18" t="s">
        <v>347</v>
      </c>
    </row>
    <row r="25" spans="1:5" x14ac:dyDescent="0.25">
      <c r="A25" s="75">
        <v>2251</v>
      </c>
      <c r="B25" s="74" t="s">
        <v>289</v>
      </c>
      <c r="C25" s="74"/>
      <c r="D25" s="75" t="s">
        <v>288</v>
      </c>
      <c r="E25" s="73" t="s">
        <v>415</v>
      </c>
    </row>
    <row r="26" spans="1:5" x14ac:dyDescent="0.25">
      <c r="A26" s="18" t="s">
        <v>331</v>
      </c>
      <c r="B26" s="66" t="s">
        <v>344</v>
      </c>
      <c r="C26" s="66"/>
      <c r="D26" s="18" t="s">
        <v>345</v>
      </c>
      <c r="E26" s="18" t="s">
        <v>348</v>
      </c>
    </row>
    <row r="27" spans="1:5" x14ac:dyDescent="0.25">
      <c r="A27" s="18" t="s">
        <v>331</v>
      </c>
      <c r="B27" s="66" t="s">
        <v>105</v>
      </c>
      <c r="C27" s="66"/>
      <c r="D27" s="18" t="s">
        <v>57</v>
      </c>
      <c r="E27" s="18" t="s">
        <v>348</v>
      </c>
    </row>
    <row r="28" spans="1:5" x14ac:dyDescent="0.25">
      <c r="A28" s="18" t="s">
        <v>331</v>
      </c>
      <c r="B28" s="66" t="s">
        <v>332</v>
      </c>
      <c r="C28" s="66"/>
      <c r="D28" s="18" t="s">
        <v>57</v>
      </c>
      <c r="E28" s="18" t="s">
        <v>348</v>
      </c>
    </row>
    <row r="29" spans="1:5" x14ac:dyDescent="0.25">
      <c r="A29" s="18" t="s">
        <v>331</v>
      </c>
      <c r="B29" s="66" t="s">
        <v>340</v>
      </c>
      <c r="C29" s="66"/>
      <c r="D29" s="18" t="s">
        <v>342</v>
      </c>
      <c r="E29" s="18" t="s">
        <v>348</v>
      </c>
    </row>
    <row r="30" spans="1:5" x14ac:dyDescent="0.25">
      <c r="A30" s="18" t="s">
        <v>331</v>
      </c>
      <c r="B30" s="66" t="s">
        <v>341</v>
      </c>
      <c r="C30" s="66"/>
      <c r="D30" s="18" t="s">
        <v>343</v>
      </c>
      <c r="E30" s="18" t="s">
        <v>348</v>
      </c>
    </row>
    <row r="31" spans="1:5" x14ac:dyDescent="0.25">
      <c r="A31" s="18" t="s">
        <v>331</v>
      </c>
      <c r="B31" s="66" t="s">
        <v>284</v>
      </c>
      <c r="C31" s="66"/>
      <c r="D31" s="18" t="s">
        <v>79</v>
      </c>
      <c r="E31" s="18" t="s">
        <v>348</v>
      </c>
    </row>
    <row r="32" spans="1:5" x14ac:dyDescent="0.25">
      <c r="A32" s="18"/>
      <c r="B32" s="66"/>
      <c r="C32" s="66"/>
      <c r="D32" s="18" t="s">
        <v>78</v>
      </c>
      <c r="E32" s="18" t="s">
        <v>349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B30" sqref="B30"/>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80</v>
      </c>
      <c r="B1" s="1" t="s">
        <v>81</v>
      </c>
      <c r="C1" s="1" t="s">
        <v>82</v>
      </c>
      <c r="D1" s="1" t="s">
        <v>83</v>
      </c>
      <c r="E1" s="1" t="s">
        <v>84</v>
      </c>
      <c r="F1" s="1" t="s">
        <v>85</v>
      </c>
      <c r="G1" s="1" t="s">
        <v>86</v>
      </c>
      <c r="H1" s="1" t="s">
        <v>87</v>
      </c>
    </row>
    <row r="2" spans="1:8" x14ac:dyDescent="0.25">
      <c r="A2" s="63" t="s">
        <v>88</v>
      </c>
      <c r="B2" s="63" t="s">
        <v>89</v>
      </c>
      <c r="C2" s="58" t="s">
        <v>90</v>
      </c>
      <c r="D2" s="58"/>
      <c r="E2" s="58"/>
      <c r="F2" s="58"/>
      <c r="G2" s="58"/>
      <c r="H2" s="58"/>
    </row>
    <row r="3" spans="1:8" x14ac:dyDescent="0.25">
      <c r="A3" s="63" t="s">
        <v>88</v>
      </c>
      <c r="B3" s="63" t="s">
        <v>91</v>
      </c>
      <c r="C3" s="58"/>
      <c r="D3" s="58"/>
      <c r="E3" s="58"/>
      <c r="F3" s="58" t="s">
        <v>90</v>
      </c>
      <c r="G3" s="58"/>
      <c r="H3" s="58"/>
    </row>
    <row r="4" spans="1:8" x14ac:dyDescent="0.25">
      <c r="A4" s="63" t="s">
        <v>88</v>
      </c>
      <c r="B4" s="63" t="s">
        <v>92</v>
      </c>
      <c r="C4" s="58"/>
      <c r="D4" s="58"/>
      <c r="E4" s="58"/>
      <c r="F4" s="58" t="s">
        <v>90</v>
      </c>
      <c r="G4" s="58"/>
      <c r="H4" s="58"/>
    </row>
    <row r="5" spans="1:8" x14ac:dyDescent="0.25">
      <c r="A5" s="63" t="s">
        <v>88</v>
      </c>
      <c r="B5" s="63" t="s">
        <v>93</v>
      </c>
      <c r="C5" s="58"/>
      <c r="D5" s="58"/>
      <c r="E5" s="58"/>
      <c r="F5" s="58" t="s">
        <v>90</v>
      </c>
      <c r="G5" s="58"/>
      <c r="H5" s="58"/>
    </row>
    <row r="6" spans="1:8" x14ac:dyDescent="0.25">
      <c r="A6" s="63" t="s">
        <v>88</v>
      </c>
      <c r="B6" s="63" t="s">
        <v>94</v>
      </c>
      <c r="C6" s="58" t="s">
        <v>90</v>
      </c>
      <c r="D6" s="58"/>
      <c r="E6" s="58"/>
      <c r="F6" s="63"/>
      <c r="G6" s="58"/>
      <c r="H6" s="58"/>
    </row>
    <row r="7" spans="1:8" x14ac:dyDescent="0.25">
      <c r="A7" s="63" t="s">
        <v>88</v>
      </c>
      <c r="B7" s="63" t="s">
        <v>95</v>
      </c>
      <c r="C7" s="58"/>
      <c r="D7" s="58"/>
      <c r="E7" s="58"/>
      <c r="F7" s="58" t="s">
        <v>90</v>
      </c>
      <c r="G7" s="58"/>
      <c r="H7" s="58"/>
    </row>
    <row r="8" spans="1:8" x14ac:dyDescent="0.25">
      <c r="A8" s="63" t="s">
        <v>88</v>
      </c>
      <c r="B8" s="63" t="s">
        <v>96</v>
      </c>
      <c r="C8" s="58"/>
      <c r="D8" s="58"/>
      <c r="E8" s="58"/>
      <c r="F8" s="58" t="s">
        <v>90</v>
      </c>
      <c r="G8" s="58"/>
      <c r="H8" s="58"/>
    </row>
    <row r="9" spans="1:8" x14ac:dyDescent="0.25">
      <c r="A9" s="63" t="s">
        <v>88</v>
      </c>
      <c r="B9" s="63" t="s">
        <v>97</v>
      </c>
      <c r="C9" s="58"/>
      <c r="D9" s="58"/>
      <c r="E9" s="58"/>
      <c r="F9" s="65" t="s">
        <v>90</v>
      </c>
      <c r="G9" s="58"/>
      <c r="H9" s="58"/>
    </row>
    <row r="10" spans="1:8" x14ac:dyDescent="0.25">
      <c r="A10" s="63" t="s">
        <v>88</v>
      </c>
      <c r="B10" s="63" t="s">
        <v>98</v>
      </c>
      <c r="C10" s="58"/>
      <c r="D10" s="58"/>
      <c r="E10" s="63"/>
      <c r="F10" s="65" t="s">
        <v>90</v>
      </c>
      <c r="G10" s="58"/>
      <c r="H10" s="58"/>
    </row>
    <row r="11" spans="1:8" x14ac:dyDescent="0.25">
      <c r="A11" s="63" t="s">
        <v>99</v>
      </c>
      <c r="B11" s="63" t="s">
        <v>100</v>
      </c>
      <c r="C11" s="58"/>
      <c r="D11" s="58"/>
      <c r="E11" s="58"/>
      <c r="F11" s="58" t="s">
        <v>90</v>
      </c>
      <c r="G11" s="58"/>
      <c r="H11" s="58"/>
    </row>
    <row r="12" spans="1:8" x14ac:dyDescent="0.25">
      <c r="A12" s="63" t="s">
        <v>99</v>
      </c>
      <c r="B12" s="63" t="s">
        <v>101</v>
      </c>
      <c r="C12" s="58"/>
      <c r="D12" s="58"/>
      <c r="E12" s="58" t="s">
        <v>90</v>
      </c>
      <c r="F12" s="58"/>
      <c r="G12" s="58"/>
      <c r="H12" s="58"/>
    </row>
    <row r="13" spans="1:8" x14ac:dyDescent="0.25">
      <c r="A13" s="63" t="s">
        <v>99</v>
      </c>
      <c r="B13" s="63" t="s">
        <v>102</v>
      </c>
      <c r="C13" s="58"/>
      <c r="D13" s="58"/>
      <c r="E13" s="58" t="s">
        <v>90</v>
      </c>
      <c r="F13" s="58"/>
      <c r="G13" s="58"/>
      <c r="H13" s="58"/>
    </row>
    <row r="14" spans="1:8" x14ac:dyDescent="0.25">
      <c r="A14" s="63" t="s">
        <v>99</v>
      </c>
      <c r="B14" s="63" t="s">
        <v>103</v>
      </c>
      <c r="C14" s="58"/>
      <c r="D14" s="58"/>
      <c r="E14" s="58" t="s">
        <v>90</v>
      </c>
      <c r="F14" s="58"/>
      <c r="G14" s="58"/>
      <c r="H14" s="58"/>
    </row>
    <row r="15" spans="1:8" x14ac:dyDescent="0.25">
      <c r="A15" s="63" t="s">
        <v>99</v>
      </c>
      <c r="B15" s="63" t="s">
        <v>104</v>
      </c>
      <c r="C15" s="58"/>
      <c r="D15" s="58"/>
      <c r="E15" s="58"/>
      <c r="F15" s="58" t="s">
        <v>90</v>
      </c>
      <c r="G15" s="58"/>
      <c r="H15" s="58"/>
    </row>
    <row r="16" spans="1:8" x14ac:dyDescent="0.25">
      <c r="A16" s="63" t="s">
        <v>99</v>
      </c>
      <c r="B16" s="63" t="s">
        <v>105</v>
      </c>
      <c r="C16" s="58"/>
      <c r="D16" s="58"/>
      <c r="E16" s="58" t="s">
        <v>90</v>
      </c>
      <c r="F16" s="58"/>
      <c r="G16" s="58"/>
      <c r="H16" s="58"/>
    </row>
    <row r="17" spans="1:8" x14ac:dyDescent="0.25">
      <c r="A17" s="63" t="s">
        <v>99</v>
      </c>
      <c r="B17" s="63" t="s">
        <v>106</v>
      </c>
      <c r="C17" s="58"/>
      <c r="D17" s="58"/>
      <c r="E17" s="58"/>
      <c r="F17" s="58" t="s">
        <v>90</v>
      </c>
      <c r="G17" s="58"/>
      <c r="H17" s="58"/>
    </row>
    <row r="18" spans="1:8" x14ac:dyDescent="0.25">
      <c r="A18" s="63" t="s">
        <v>99</v>
      </c>
      <c r="B18" s="63" t="s">
        <v>107</v>
      </c>
      <c r="C18" s="63"/>
      <c r="D18" s="58"/>
      <c r="E18" s="58"/>
      <c r="F18" s="58" t="s">
        <v>90</v>
      </c>
      <c r="G18" s="58"/>
      <c r="H18" s="58"/>
    </row>
    <row r="19" spans="1:8" x14ac:dyDescent="0.25">
      <c r="A19" s="63" t="s">
        <v>99</v>
      </c>
      <c r="B19" s="63" t="s">
        <v>108</v>
      </c>
      <c r="C19" s="63"/>
      <c r="D19" s="58"/>
      <c r="E19" s="58"/>
      <c r="F19" s="58" t="s">
        <v>90</v>
      </c>
      <c r="G19" s="58"/>
      <c r="H19" s="58"/>
    </row>
    <row r="20" spans="1:8" x14ac:dyDescent="0.25">
      <c r="A20" s="63" t="s">
        <v>99</v>
      </c>
      <c r="B20" s="63" t="s">
        <v>267</v>
      </c>
      <c r="C20" s="63"/>
      <c r="D20" s="58"/>
      <c r="E20" s="58"/>
      <c r="F20" s="58" t="s">
        <v>90</v>
      </c>
      <c r="G20" s="58"/>
      <c r="H20" s="58"/>
    </row>
    <row r="21" spans="1:8" x14ac:dyDescent="0.25">
      <c r="A21" s="63" t="s">
        <v>99</v>
      </c>
      <c r="B21" s="63" t="s">
        <v>268</v>
      </c>
      <c r="C21" s="63"/>
      <c r="D21" s="58"/>
      <c r="E21" s="58"/>
      <c r="F21" s="58" t="s">
        <v>90</v>
      </c>
      <c r="G21" s="58"/>
      <c r="H21" s="58"/>
    </row>
    <row r="22" spans="1:8" x14ac:dyDescent="0.25">
      <c r="A22" s="63" t="s">
        <v>109</v>
      </c>
      <c r="B22" s="63" t="s">
        <v>110</v>
      </c>
      <c r="C22" s="58" t="s">
        <v>90</v>
      </c>
      <c r="D22" s="58"/>
      <c r="E22" s="58"/>
      <c r="F22" s="58"/>
      <c r="G22" s="58"/>
      <c r="H22" s="58"/>
    </row>
    <row r="23" spans="1:8" x14ac:dyDescent="0.25">
      <c r="A23" s="63" t="s">
        <v>109</v>
      </c>
      <c r="B23" s="63" t="s">
        <v>111</v>
      </c>
      <c r="C23" s="58"/>
      <c r="D23" s="58"/>
      <c r="E23" s="58"/>
      <c r="F23" s="58" t="s">
        <v>90</v>
      </c>
      <c r="G23" s="58"/>
      <c r="H23" s="58"/>
    </row>
    <row r="24" spans="1:8" x14ac:dyDescent="0.25">
      <c r="A24" s="63" t="s">
        <v>109</v>
      </c>
      <c r="B24" s="63" t="s">
        <v>77</v>
      </c>
      <c r="C24" s="58"/>
      <c r="D24" s="63"/>
      <c r="E24" s="58"/>
      <c r="F24" s="58" t="s">
        <v>90</v>
      </c>
      <c r="G24" s="58"/>
      <c r="H24" s="58"/>
    </row>
    <row r="25" spans="1:8" x14ac:dyDescent="0.25">
      <c r="A25" s="63" t="s">
        <v>112</v>
      </c>
      <c r="B25" s="63" t="s">
        <v>113</v>
      </c>
      <c r="C25" s="58"/>
      <c r="D25" s="58"/>
      <c r="E25" s="58"/>
      <c r="F25" s="58" t="s">
        <v>90</v>
      </c>
      <c r="G25" s="58"/>
      <c r="H25" s="58"/>
    </row>
    <row r="26" spans="1:8" x14ac:dyDescent="0.25">
      <c r="A26" s="63" t="s">
        <v>114</v>
      </c>
      <c r="B26" s="63" t="s">
        <v>115</v>
      </c>
      <c r="C26" s="58"/>
      <c r="D26" s="58"/>
      <c r="E26" s="58"/>
      <c r="F26" s="58" t="s">
        <v>90</v>
      </c>
      <c r="G26" s="58"/>
      <c r="H26" s="58"/>
    </row>
    <row r="27" spans="1:8" x14ac:dyDescent="0.25">
      <c r="A27" s="63" t="s">
        <v>114</v>
      </c>
      <c r="B27" s="63" t="s">
        <v>116</v>
      </c>
      <c r="C27" s="58"/>
      <c r="D27" s="58"/>
      <c r="E27" s="58"/>
      <c r="F27" s="56" t="s">
        <v>90</v>
      </c>
      <c r="G27" s="58"/>
      <c r="H27" s="58"/>
    </row>
    <row r="28" spans="1:8" x14ac:dyDescent="0.25">
      <c r="A28" s="63" t="s">
        <v>114</v>
      </c>
      <c r="B28" s="63" t="s">
        <v>280</v>
      </c>
      <c r="D28" s="58"/>
      <c r="E28" s="56" t="s">
        <v>90</v>
      </c>
      <c r="F28" s="63"/>
      <c r="G28" s="58"/>
      <c r="H28" s="58"/>
    </row>
    <row r="29" spans="1:8" x14ac:dyDescent="0.25">
      <c r="A29" s="63" t="s">
        <v>114</v>
      </c>
      <c r="B29" s="63" t="s">
        <v>283</v>
      </c>
      <c r="C29" s="58" t="s">
        <v>90</v>
      </c>
      <c r="D29" s="58"/>
      <c r="E29" s="58"/>
      <c r="F29" s="58"/>
      <c r="G29" s="58"/>
      <c r="H29" s="58"/>
    </row>
    <row r="30" spans="1:8" x14ac:dyDescent="0.25">
      <c r="A30" s="63" t="s">
        <v>114</v>
      </c>
      <c r="B30" s="63" t="s">
        <v>117</v>
      </c>
      <c r="C30" s="63"/>
      <c r="D30" s="63"/>
      <c r="E30" s="63" t="s">
        <v>90</v>
      </c>
      <c r="F30" s="63"/>
      <c r="G30" s="63"/>
      <c r="H30" s="63"/>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6"/>
  <sheetViews>
    <sheetView zoomScale="140" zoomScaleNormal="140" workbookViewId="0">
      <selection activeCell="M6" sqref="M6"/>
    </sheetView>
  </sheetViews>
  <sheetFormatPr defaultColWidth="8.85546875" defaultRowHeight="15" x14ac:dyDescent="0.25"/>
  <cols>
    <col min="1" max="1" width="26.140625" customWidth="1"/>
    <col min="9" max="9" width="12" customWidth="1"/>
    <col min="10" max="10" width="11.140625" customWidth="1"/>
  </cols>
  <sheetData>
    <row r="1" spans="1:14" ht="42" customHeight="1" thickBot="1" x14ac:dyDescent="0.3">
      <c r="A1" s="28" t="s">
        <v>118</v>
      </c>
      <c r="B1" s="29" t="s">
        <v>119</v>
      </c>
      <c r="C1" s="29" t="s">
        <v>120</v>
      </c>
      <c r="D1" s="29" t="s">
        <v>121</v>
      </c>
      <c r="E1" s="29" t="s">
        <v>122</v>
      </c>
      <c r="F1" s="29" t="s">
        <v>123</v>
      </c>
      <c r="G1" s="29" t="s">
        <v>124</v>
      </c>
      <c r="H1" s="29" t="s">
        <v>125</v>
      </c>
      <c r="I1" s="29" t="s">
        <v>126</v>
      </c>
      <c r="J1" s="29" t="s">
        <v>113</v>
      </c>
      <c r="K1" s="29" t="s">
        <v>247</v>
      </c>
      <c r="L1" s="29" t="s">
        <v>127</v>
      </c>
      <c r="M1" s="30" t="s">
        <v>128</v>
      </c>
      <c r="N1" s="89" t="s">
        <v>423</v>
      </c>
    </row>
    <row r="2" spans="1:14" ht="23.25" customHeight="1" x14ac:dyDescent="0.25">
      <c r="A2" s="31" t="s">
        <v>129</v>
      </c>
      <c r="B2" s="32" t="s">
        <v>248</v>
      </c>
      <c r="C2" s="32" t="s">
        <v>248</v>
      </c>
      <c r="D2" s="32" t="s">
        <v>248</v>
      </c>
      <c r="E2" s="32" t="s">
        <v>248</v>
      </c>
      <c r="F2" s="32" t="s">
        <v>248</v>
      </c>
      <c r="G2" s="33" t="s">
        <v>249</v>
      </c>
      <c r="H2" s="15"/>
      <c r="J2" s="15"/>
      <c r="K2" s="33" t="s">
        <v>249</v>
      </c>
      <c r="M2" s="34"/>
    </row>
    <row r="3" spans="1:14" x14ac:dyDescent="0.25">
      <c r="A3" s="31" t="s">
        <v>417</v>
      </c>
      <c r="B3" s="32"/>
      <c r="C3" s="32"/>
      <c r="D3" s="32"/>
      <c r="E3" s="32"/>
      <c r="F3" s="32"/>
      <c r="G3" s="33"/>
      <c r="H3" s="15"/>
      <c r="J3" s="33"/>
      <c r="K3" s="33"/>
      <c r="M3" s="34"/>
    </row>
    <row r="4" spans="1:14" x14ac:dyDescent="0.25">
      <c r="A4" s="31" t="s">
        <v>418</v>
      </c>
      <c r="B4" s="32"/>
      <c r="C4" s="32"/>
      <c r="D4" s="16"/>
      <c r="E4" s="15"/>
      <c r="F4" s="15"/>
      <c r="G4" s="15"/>
      <c r="H4" s="15"/>
      <c r="J4" s="15"/>
      <c r="K4" s="15"/>
      <c r="L4" s="33"/>
      <c r="M4" s="34"/>
    </row>
    <row r="5" spans="1:14" x14ac:dyDescent="0.25">
      <c r="A5" s="31" t="s">
        <v>419</v>
      </c>
      <c r="B5" s="32"/>
      <c r="C5" s="32"/>
      <c r="D5" s="16"/>
      <c r="E5" s="15"/>
      <c r="F5" s="15"/>
      <c r="G5" s="15"/>
      <c r="H5" s="15"/>
      <c r="J5" s="15"/>
      <c r="K5" s="15"/>
      <c r="L5" s="33"/>
      <c r="M5" s="34"/>
    </row>
    <row r="6" spans="1:14" ht="34.5" customHeight="1" x14ac:dyDescent="0.25">
      <c r="A6" s="31" t="s">
        <v>385</v>
      </c>
      <c r="B6" s="32"/>
      <c r="C6" s="32"/>
      <c r="D6" s="32"/>
      <c r="E6" s="32"/>
      <c r="F6" s="32"/>
      <c r="G6" s="33"/>
      <c r="H6" s="33"/>
      <c r="J6" s="15"/>
      <c r="K6" s="33"/>
      <c r="M6" s="34"/>
    </row>
    <row r="7" spans="1:14" x14ac:dyDescent="0.25">
      <c r="A7" s="31" t="s">
        <v>420</v>
      </c>
      <c r="B7" s="32"/>
      <c r="C7" s="32"/>
      <c r="D7" s="16"/>
      <c r="E7" s="15"/>
      <c r="F7" s="15"/>
      <c r="G7" s="15"/>
      <c r="H7" s="15"/>
      <c r="I7" s="33"/>
      <c r="J7" s="15"/>
      <c r="M7" s="34"/>
    </row>
    <row r="8" spans="1:14" ht="34.5" customHeight="1" x14ac:dyDescent="0.25">
      <c r="A8" s="31" t="s">
        <v>421</v>
      </c>
      <c r="B8" s="32"/>
      <c r="C8" s="32"/>
      <c r="D8" s="16"/>
      <c r="E8" s="15"/>
      <c r="F8" s="15"/>
      <c r="G8" s="15"/>
      <c r="H8" s="15"/>
      <c r="I8" s="35"/>
      <c r="J8" s="15"/>
      <c r="L8" s="33"/>
      <c r="M8" s="34"/>
    </row>
    <row r="9" spans="1:14" ht="34.5" customHeight="1" x14ac:dyDescent="0.25">
      <c r="A9" s="31" t="s">
        <v>422</v>
      </c>
      <c r="B9" s="32"/>
      <c r="C9" s="32"/>
      <c r="D9" s="32"/>
      <c r="E9" s="15"/>
      <c r="F9" s="15"/>
      <c r="G9" s="33"/>
      <c r="H9" s="33"/>
      <c r="I9" s="15"/>
      <c r="J9" s="15"/>
      <c r="M9" s="33"/>
    </row>
    <row r="10" spans="1:14" ht="34.5" customHeight="1" x14ac:dyDescent="0.25">
      <c r="A10" s="31" t="s">
        <v>225</v>
      </c>
      <c r="B10" s="32"/>
      <c r="C10" s="32"/>
      <c r="D10" s="32"/>
      <c r="E10" s="15"/>
      <c r="F10" s="15"/>
      <c r="G10" s="33"/>
      <c r="H10" s="33"/>
      <c r="I10" s="15"/>
      <c r="J10" s="15"/>
      <c r="M10" s="33"/>
    </row>
    <row r="11" spans="1:14" ht="34.5" customHeight="1" x14ac:dyDescent="0.25">
      <c r="A11" s="31" t="s">
        <v>424</v>
      </c>
      <c r="B11" s="32"/>
      <c r="C11" s="32"/>
      <c r="D11" s="32"/>
      <c r="E11" s="15"/>
      <c r="F11" s="15"/>
      <c r="G11" s="33"/>
      <c r="H11" s="33"/>
      <c r="I11" s="15"/>
      <c r="J11" s="15"/>
      <c r="M11" s="33"/>
    </row>
    <row r="12" spans="1:14" x14ac:dyDescent="0.25">
      <c r="A12" s="31" t="s">
        <v>425</v>
      </c>
      <c r="B12" s="32"/>
      <c r="C12" s="32"/>
      <c r="D12" s="16"/>
      <c r="E12" s="15"/>
      <c r="F12" s="15"/>
      <c r="G12" s="15"/>
      <c r="H12" s="15"/>
      <c r="I12" s="15"/>
      <c r="J12" s="15"/>
      <c r="L12" s="33"/>
      <c r="M12" s="34"/>
    </row>
    <row r="13" spans="1:14" x14ac:dyDescent="0.25">
      <c r="A13" s="31"/>
      <c r="B13" s="32"/>
      <c r="C13" s="32"/>
      <c r="D13" s="16"/>
      <c r="E13" s="15"/>
      <c r="F13" s="15"/>
      <c r="G13" s="15"/>
      <c r="H13" s="15"/>
      <c r="I13" s="15"/>
      <c r="J13" s="15"/>
      <c r="M13" s="33"/>
    </row>
    <row r="14" spans="1:14" x14ac:dyDescent="0.25">
      <c r="A14" s="36" t="s">
        <v>130</v>
      </c>
      <c r="B14" s="32" t="s">
        <v>248</v>
      </c>
      <c r="C14" s="37"/>
      <c r="D14" s="37"/>
      <c r="E14" s="37"/>
      <c r="F14" s="37"/>
      <c r="G14" s="37"/>
      <c r="H14" s="37"/>
      <c r="I14" s="37"/>
      <c r="J14" s="37"/>
      <c r="K14" s="38"/>
      <c r="L14" s="38"/>
      <c r="M14" s="39"/>
    </row>
    <row r="15" spans="1:14" x14ac:dyDescent="0.25">
      <c r="A15" s="32" t="s">
        <v>252</v>
      </c>
      <c r="B15" s="47" t="s">
        <v>250</v>
      </c>
      <c r="C15" s="47"/>
      <c r="D15" s="47"/>
      <c r="E15" s="47"/>
      <c r="F15" s="47"/>
      <c r="G15" s="47"/>
      <c r="H15" s="47"/>
      <c r="I15" s="47"/>
      <c r="J15" s="47"/>
      <c r="K15" s="47"/>
      <c r="L15" s="47"/>
      <c r="M15" s="47"/>
    </row>
    <row r="16" spans="1:14" x14ac:dyDescent="0.25">
      <c r="A16" s="33" t="s">
        <v>253</v>
      </c>
      <c r="B16" s="47" t="s">
        <v>251</v>
      </c>
      <c r="C16" s="47"/>
      <c r="D16" s="47"/>
      <c r="E16" s="47"/>
      <c r="F16" s="47"/>
      <c r="G16" s="47"/>
      <c r="H16" s="47"/>
      <c r="I16" s="47"/>
      <c r="J16" s="47"/>
      <c r="K16" s="47"/>
      <c r="L16" s="47"/>
      <c r="M16" s="47"/>
    </row>
    <row r="17" spans="1:8" x14ac:dyDescent="0.25">
      <c r="A17" s="17"/>
      <c r="B17" s="16"/>
      <c r="C17" s="16"/>
      <c r="D17" s="18"/>
      <c r="E17" s="18"/>
      <c r="F17" s="18"/>
      <c r="G17" s="18"/>
      <c r="H17" s="18"/>
    </row>
    <row r="18" spans="1:8" x14ac:dyDescent="0.25">
      <c r="A18" s="17"/>
      <c r="B18" s="16"/>
      <c r="C18" s="16"/>
      <c r="D18" s="18"/>
      <c r="E18" s="18"/>
      <c r="F18" s="18"/>
      <c r="G18" s="18"/>
      <c r="H18" s="18"/>
    </row>
    <row r="19" spans="1:8" x14ac:dyDescent="0.25">
      <c r="A19" s="17"/>
      <c r="B19" s="16"/>
      <c r="C19" s="16"/>
      <c r="D19" s="18"/>
      <c r="E19" s="18"/>
      <c r="F19" s="18"/>
      <c r="G19" s="18"/>
      <c r="H19" s="18"/>
    </row>
    <row r="20" spans="1:8" x14ac:dyDescent="0.25">
      <c r="A20" s="17"/>
      <c r="B20" s="16"/>
      <c r="C20" s="16"/>
      <c r="D20" s="18"/>
      <c r="E20" s="18"/>
      <c r="F20" s="18"/>
      <c r="G20" s="18"/>
      <c r="H20" s="18"/>
    </row>
    <row r="21" spans="1:8" x14ac:dyDescent="0.25">
      <c r="A21" s="17"/>
      <c r="B21" s="16"/>
      <c r="C21" s="16"/>
      <c r="D21" s="18"/>
      <c r="E21" s="18"/>
      <c r="F21" s="18"/>
      <c r="G21" s="18"/>
      <c r="H21" s="18"/>
    </row>
    <row r="22" spans="1:8" x14ac:dyDescent="0.25">
      <c r="A22" s="17"/>
      <c r="B22" s="16"/>
      <c r="C22" s="16"/>
      <c r="D22" s="18"/>
      <c r="E22" s="18"/>
      <c r="F22" s="18"/>
      <c r="G22" s="18"/>
      <c r="H22" s="18"/>
    </row>
    <row r="23" spans="1:8" x14ac:dyDescent="0.25">
      <c r="A23" s="17"/>
      <c r="B23" s="16"/>
      <c r="C23" s="16"/>
      <c r="D23" s="18"/>
      <c r="E23" s="18"/>
      <c r="F23" s="18"/>
      <c r="G23" s="18"/>
      <c r="H23" s="18"/>
    </row>
    <row r="24" spans="1:8" x14ac:dyDescent="0.25">
      <c r="A24" s="17"/>
      <c r="B24" s="16"/>
      <c r="C24" s="16"/>
      <c r="D24" s="18"/>
      <c r="E24" s="18"/>
      <c r="F24" s="18"/>
      <c r="G24" s="18"/>
      <c r="H24" s="18"/>
    </row>
    <row r="25" spans="1:8" x14ac:dyDescent="0.25">
      <c r="A25" s="17"/>
      <c r="B25" s="16"/>
      <c r="C25" s="16"/>
    </row>
    <row r="26" spans="1:8" x14ac:dyDescent="0.25">
      <c r="A26" s="13"/>
      <c r="B26" s="16"/>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7"/>
  <sheetViews>
    <sheetView zoomScale="120" zoomScaleNormal="120" workbookViewId="0">
      <selection activeCell="A2" sqref="A2"/>
    </sheetView>
  </sheetViews>
  <sheetFormatPr defaultColWidth="8.85546875" defaultRowHeight="15" x14ac:dyDescent="0.2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11" s="43" customFormat="1" ht="72" x14ac:dyDescent="0.25">
      <c r="A1" s="44" t="s">
        <v>131</v>
      </c>
      <c r="B1" s="45" t="s">
        <v>132</v>
      </c>
      <c r="C1" s="45" t="s">
        <v>133</v>
      </c>
      <c r="D1" s="45" t="s">
        <v>134</v>
      </c>
      <c r="E1" s="45" t="s">
        <v>135</v>
      </c>
      <c r="F1" s="45" t="s">
        <v>136</v>
      </c>
      <c r="G1" s="45" t="s">
        <v>137</v>
      </c>
      <c r="H1" s="45" t="s">
        <v>138</v>
      </c>
      <c r="I1" s="45" t="s">
        <v>139</v>
      </c>
      <c r="J1" s="45" t="s">
        <v>140</v>
      </c>
      <c r="K1" s="45" t="s">
        <v>141</v>
      </c>
    </row>
    <row r="2" spans="1:11" s="43" customFormat="1" ht="60" x14ac:dyDescent="0.25">
      <c r="A2" s="42" t="s">
        <v>142</v>
      </c>
      <c r="B2" s="55" t="s">
        <v>286</v>
      </c>
      <c r="C2" s="55" t="s">
        <v>143</v>
      </c>
      <c r="D2" s="55" t="s">
        <v>144</v>
      </c>
      <c r="E2" s="55" t="s">
        <v>145</v>
      </c>
      <c r="F2" s="55" t="s">
        <v>46</v>
      </c>
      <c r="G2" s="55" t="s">
        <v>153</v>
      </c>
      <c r="H2" s="55" t="s">
        <v>285</v>
      </c>
      <c r="I2" s="55" t="s">
        <v>279</v>
      </c>
      <c r="J2" s="55"/>
      <c r="K2" s="55"/>
    </row>
    <row r="3" spans="1:11" s="43" customFormat="1" ht="60" x14ac:dyDescent="0.25">
      <c r="A3" s="55" t="s">
        <v>146</v>
      </c>
      <c r="B3" s="55" t="s">
        <v>147</v>
      </c>
      <c r="C3" s="55" t="s">
        <v>266</v>
      </c>
      <c r="D3" s="55" t="s">
        <v>265</v>
      </c>
      <c r="E3" s="55"/>
      <c r="F3" s="55" t="s">
        <v>46</v>
      </c>
      <c r="G3" s="55" t="s">
        <v>153</v>
      </c>
      <c r="H3" s="55" t="s">
        <v>76</v>
      </c>
      <c r="I3" s="55" t="s">
        <v>279</v>
      </c>
      <c r="J3" s="55"/>
      <c r="K3" s="55"/>
    </row>
    <row r="4" spans="1:11" s="43" customFormat="1" ht="60" x14ac:dyDescent="0.25">
      <c r="A4" s="55" t="s">
        <v>146</v>
      </c>
      <c r="B4" s="55" t="s">
        <v>149</v>
      </c>
      <c r="C4" s="55" t="s">
        <v>150</v>
      </c>
      <c r="D4" s="55" t="s">
        <v>148</v>
      </c>
      <c r="E4" s="55"/>
      <c r="F4" s="55" t="s">
        <v>46</v>
      </c>
      <c r="G4" s="55" t="s">
        <v>153</v>
      </c>
      <c r="H4" s="55" t="s">
        <v>76</v>
      </c>
      <c r="I4" s="55" t="s">
        <v>279</v>
      </c>
      <c r="J4" s="55"/>
      <c r="K4" s="55"/>
    </row>
    <row r="5" spans="1:11" s="43" customFormat="1" ht="60" x14ac:dyDescent="0.25">
      <c r="A5" s="55" t="s">
        <v>146</v>
      </c>
      <c r="B5" s="55" t="s">
        <v>151</v>
      </c>
      <c r="C5" s="55" t="s">
        <v>150</v>
      </c>
      <c r="D5" s="55" t="s">
        <v>152</v>
      </c>
      <c r="E5" s="55"/>
      <c r="F5" s="55" t="s">
        <v>46</v>
      </c>
      <c r="G5" s="55" t="s">
        <v>153</v>
      </c>
      <c r="H5" s="55" t="s">
        <v>76</v>
      </c>
      <c r="I5" s="55" t="s">
        <v>279</v>
      </c>
      <c r="J5" s="55"/>
      <c r="K5" s="55"/>
    </row>
    <row r="6" spans="1:11" s="43" customFormat="1" x14ac:dyDescent="0.25">
      <c r="A6" s="55"/>
      <c r="B6" s="55"/>
      <c r="C6" s="55"/>
      <c r="D6" s="55"/>
      <c r="E6" s="55"/>
      <c r="F6" s="55"/>
      <c r="G6" s="55"/>
      <c r="H6" s="55"/>
      <c r="I6" s="55"/>
      <c r="J6" s="55"/>
      <c r="K6" s="55"/>
    </row>
    <row r="7" spans="1:11" s="43" customFormat="1" x14ac:dyDescent="0.25">
      <c r="A7" s="55"/>
      <c r="B7" s="55"/>
      <c r="C7" s="55"/>
      <c r="D7" s="55"/>
      <c r="E7" s="55"/>
      <c r="F7" s="55"/>
      <c r="G7" s="55"/>
      <c r="H7" s="55"/>
      <c r="I7" s="55"/>
      <c r="J7" s="55"/>
      <c r="K7" s="55"/>
    </row>
    <row r="8" spans="1:11" s="43" customFormat="1" x14ac:dyDescent="0.25">
      <c r="A8" s="55"/>
      <c r="B8" s="55"/>
      <c r="C8" s="55"/>
      <c r="D8" s="55"/>
      <c r="E8" s="55"/>
      <c r="F8" s="55"/>
      <c r="G8" s="55"/>
      <c r="H8" s="55"/>
      <c r="I8" s="55"/>
      <c r="J8" s="55"/>
      <c r="K8" s="55"/>
    </row>
    <row r="9" spans="1:11" s="43" customFormat="1" x14ac:dyDescent="0.25">
      <c r="A9" s="55"/>
      <c r="B9" s="55"/>
      <c r="C9" s="55"/>
      <c r="D9" s="55"/>
      <c r="E9" s="55"/>
      <c r="F9" s="55"/>
      <c r="G9" s="55"/>
      <c r="H9" s="55"/>
      <c r="I9" s="55"/>
      <c r="J9" s="55"/>
      <c r="K9" s="55"/>
    </row>
    <row r="10" spans="1:11" s="43" customFormat="1" x14ac:dyDescent="0.25">
      <c r="A10" s="55"/>
      <c r="B10" s="55"/>
      <c r="C10" s="55"/>
      <c r="D10" s="55"/>
      <c r="E10" s="55"/>
      <c r="F10" s="55"/>
      <c r="G10" s="55"/>
      <c r="H10" s="55"/>
      <c r="I10" s="55"/>
      <c r="J10" s="55"/>
      <c r="K10" s="55"/>
    </row>
    <row r="11" spans="1:11" s="43" customFormat="1" x14ac:dyDescent="0.25">
      <c r="A11" s="55"/>
      <c r="B11" s="55"/>
      <c r="C11" s="55"/>
      <c r="D11" s="55"/>
      <c r="E11" s="55"/>
      <c r="F11" s="55"/>
      <c r="G11" s="55"/>
      <c r="H11" s="55"/>
      <c r="I11" s="55"/>
      <c r="J11" s="55"/>
      <c r="K11" s="55"/>
    </row>
    <row r="12" spans="1:11" s="43" customFormat="1" x14ac:dyDescent="0.25">
      <c r="A12" s="55"/>
      <c r="B12" s="55"/>
      <c r="C12" s="55"/>
      <c r="D12" s="55"/>
      <c r="E12" s="55"/>
      <c r="F12" s="55"/>
      <c r="G12" s="55"/>
      <c r="H12" s="55"/>
      <c r="I12" s="55"/>
      <c r="J12" s="55"/>
      <c r="K12" s="55"/>
    </row>
    <row r="13" spans="1:11" s="43" customFormat="1" x14ac:dyDescent="0.25">
      <c r="A13" s="55"/>
      <c r="B13" s="55"/>
      <c r="C13" s="55"/>
      <c r="D13" s="55"/>
      <c r="E13" s="55"/>
      <c r="F13" s="55"/>
      <c r="G13" s="55"/>
      <c r="H13" s="55"/>
      <c r="I13" s="55"/>
      <c r="J13" s="55"/>
      <c r="K13" s="55"/>
    </row>
    <row r="14" spans="1:11" s="43" customFormat="1" x14ac:dyDescent="0.25">
      <c r="A14" s="55"/>
      <c r="B14" s="55"/>
      <c r="C14" s="55"/>
      <c r="D14" s="55"/>
      <c r="E14" s="55"/>
      <c r="F14" s="55"/>
      <c r="G14" s="55"/>
      <c r="H14" s="55"/>
      <c r="I14" s="55"/>
      <c r="J14" s="55"/>
      <c r="K14" s="55"/>
    </row>
    <row r="15" spans="1:11" s="43" customFormat="1" x14ac:dyDescent="0.25">
      <c r="A15" s="55"/>
      <c r="B15" s="55"/>
      <c r="C15" s="55"/>
      <c r="D15" s="55"/>
      <c r="E15" s="55"/>
      <c r="F15" s="55"/>
      <c r="G15" s="55"/>
      <c r="H15" s="55"/>
      <c r="I15" s="55"/>
      <c r="J15" s="55"/>
      <c r="K15" s="55"/>
    </row>
    <row r="16" spans="1:11" s="43" customFormat="1" x14ac:dyDescent="0.25">
      <c r="A16" s="55"/>
      <c r="B16" s="55"/>
      <c r="C16" s="55"/>
      <c r="D16" s="55"/>
      <c r="E16" s="55"/>
      <c r="F16" s="55"/>
      <c r="G16" s="55"/>
      <c r="H16" s="55"/>
      <c r="I16" s="55"/>
      <c r="J16" s="55"/>
      <c r="K16" s="55"/>
    </row>
    <row r="17" spans="8:8" x14ac:dyDescent="0.25">
      <c r="H17" s="2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5546875" defaultRowHeight="15" x14ac:dyDescent="0.25"/>
  <cols>
    <col min="1" max="1" width="6.5703125" bestFit="1" customWidth="1"/>
    <col min="2" max="2" width="17.85546875" bestFit="1" customWidth="1"/>
    <col min="3" max="3" width="56.5703125" customWidth="1"/>
    <col min="4" max="4" width="24.140625" customWidth="1"/>
  </cols>
  <sheetData>
    <row r="1" spans="1:4" ht="30.75" thickBot="1" x14ac:dyDescent="0.3">
      <c r="A1" s="2" t="s">
        <v>154</v>
      </c>
      <c r="B1" s="3" t="s">
        <v>155</v>
      </c>
      <c r="C1" s="3" t="s">
        <v>156</v>
      </c>
      <c r="D1" s="3" t="s">
        <v>157</v>
      </c>
    </row>
    <row r="2" spans="1:4" ht="30.75" thickBot="1" x14ac:dyDescent="0.3">
      <c r="A2" s="40" t="s">
        <v>158</v>
      </c>
      <c r="B2" s="3" t="s">
        <v>159</v>
      </c>
      <c r="C2" s="3" t="s">
        <v>160</v>
      </c>
      <c r="D2" s="3" t="s">
        <v>161</v>
      </c>
    </row>
    <row r="3" spans="1:4" ht="45.75" thickBot="1" x14ac:dyDescent="0.3">
      <c r="A3" s="40" t="s">
        <v>162</v>
      </c>
      <c r="B3" s="3" t="s">
        <v>163</v>
      </c>
      <c r="C3" s="3" t="s">
        <v>164</v>
      </c>
      <c r="D3" s="3" t="s">
        <v>164</v>
      </c>
    </row>
    <row r="4" spans="1:4" ht="45.75" thickBot="1" x14ac:dyDescent="0.3">
      <c r="A4" s="40" t="s">
        <v>165</v>
      </c>
      <c r="B4" s="3" t="s">
        <v>166</v>
      </c>
      <c r="C4" s="3" t="s">
        <v>167</v>
      </c>
      <c r="D4" s="3" t="s">
        <v>168</v>
      </c>
    </row>
    <row r="5" spans="1:4" ht="60.75" thickBot="1" x14ac:dyDescent="0.3">
      <c r="A5" s="40" t="s">
        <v>169</v>
      </c>
      <c r="B5" s="3" t="s">
        <v>170</v>
      </c>
      <c r="C5" s="3" t="s">
        <v>171</v>
      </c>
      <c r="D5" s="3" t="s">
        <v>172</v>
      </c>
    </row>
    <row r="6" spans="1:4" ht="75.75" thickBot="1" x14ac:dyDescent="0.3">
      <c r="A6" s="40" t="s">
        <v>173</v>
      </c>
      <c r="B6" s="3" t="s">
        <v>174</v>
      </c>
      <c r="C6" s="3" t="s">
        <v>175</v>
      </c>
      <c r="D6" s="3" t="s">
        <v>176</v>
      </c>
    </row>
    <row r="7" spans="1:4" ht="30.75" thickBot="1" x14ac:dyDescent="0.3">
      <c r="A7" s="40" t="s">
        <v>177</v>
      </c>
      <c r="B7" s="3" t="s">
        <v>178</v>
      </c>
      <c r="C7" s="3" t="s">
        <v>179</v>
      </c>
      <c r="D7" s="3" t="s">
        <v>180</v>
      </c>
    </row>
    <row r="8" spans="1:4" ht="45.75" thickBot="1" x14ac:dyDescent="0.3">
      <c r="A8" s="40" t="s">
        <v>181</v>
      </c>
      <c r="B8" s="3" t="s">
        <v>182</v>
      </c>
      <c r="C8" s="3" t="s">
        <v>183</v>
      </c>
      <c r="D8" s="3" t="s">
        <v>184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M20" sqref="M20"/>
    </sheetView>
  </sheetViews>
  <sheetFormatPr defaultRowHeight="15" x14ac:dyDescent="0.25"/>
  <cols>
    <col min="1" max="1" width="6.5703125" bestFit="1" customWidth="1"/>
    <col min="2" max="2" width="30.5703125" customWidth="1"/>
  </cols>
  <sheetData>
    <row r="1" spans="1:2" ht="30.75" thickBot="1" x14ac:dyDescent="0.3">
      <c r="A1" s="2" t="s">
        <v>154</v>
      </c>
      <c r="B1" s="2" t="s">
        <v>185</v>
      </c>
    </row>
    <row r="2" spans="1:2" ht="45.75" thickBot="1" x14ac:dyDescent="0.3">
      <c r="A2" s="2" t="s">
        <v>158</v>
      </c>
      <c r="B2" s="2" t="s">
        <v>186</v>
      </c>
    </row>
    <row r="3" spans="1:2" ht="30.75" thickBot="1" x14ac:dyDescent="0.3">
      <c r="A3" s="2" t="s">
        <v>162</v>
      </c>
      <c r="B3" s="2" t="s">
        <v>187</v>
      </c>
    </row>
    <row r="4" spans="1:2" ht="45.75" thickBot="1" x14ac:dyDescent="0.3">
      <c r="A4" s="2" t="s">
        <v>165</v>
      </c>
      <c r="B4" s="2" t="s">
        <v>188</v>
      </c>
    </row>
    <row r="5" spans="1:2" ht="45.75" thickBot="1" x14ac:dyDescent="0.3">
      <c r="A5" s="2" t="s">
        <v>169</v>
      </c>
      <c r="B5" s="2" t="s">
        <v>189</v>
      </c>
    </row>
    <row r="6" spans="1:2" ht="30.75" thickBot="1" x14ac:dyDescent="0.3">
      <c r="A6" s="2" t="s">
        <v>173</v>
      </c>
      <c r="B6" s="2" t="s">
        <v>190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5" x14ac:dyDescent="0.25"/>
  <cols>
    <col min="1" max="1" width="6.5703125" bestFit="1" customWidth="1"/>
    <col min="2" max="2" width="53.140625" customWidth="1"/>
  </cols>
  <sheetData>
    <row r="1" spans="1:2" ht="30.75" thickBot="1" x14ac:dyDescent="0.3">
      <c r="A1" s="2" t="s">
        <v>154</v>
      </c>
      <c r="B1" s="2" t="s">
        <v>185</v>
      </c>
    </row>
    <row r="2" spans="1:2" ht="15.75" thickBot="1" x14ac:dyDescent="0.3">
      <c r="A2" s="2" t="s">
        <v>158</v>
      </c>
      <c r="B2" s="2" t="s">
        <v>191</v>
      </c>
    </row>
    <row r="3" spans="1:2" ht="15.75" thickBot="1" x14ac:dyDescent="0.3">
      <c r="A3" s="2" t="s">
        <v>162</v>
      </c>
      <c r="B3" s="2" t="s">
        <v>192</v>
      </c>
    </row>
    <row r="4" spans="1:2" ht="45.75" thickBot="1" x14ac:dyDescent="0.3">
      <c r="A4" s="2" t="s">
        <v>165</v>
      </c>
      <c r="B4" s="2" t="s">
        <v>193</v>
      </c>
    </row>
    <row r="5" spans="1:2" ht="30.75" thickBot="1" x14ac:dyDescent="0.3">
      <c r="A5" s="2" t="s">
        <v>169</v>
      </c>
      <c r="B5" s="2" t="s">
        <v>194</v>
      </c>
    </row>
    <row r="6" spans="1:2" ht="30.75" thickBot="1" x14ac:dyDescent="0.3">
      <c r="A6" s="2" t="s">
        <v>173</v>
      </c>
      <c r="B6" s="2" t="s">
        <v>195</v>
      </c>
    </row>
    <row r="7" spans="1:2" ht="15.75" thickBot="1" x14ac:dyDescent="0.3">
      <c r="A7" s="2" t="s">
        <v>177</v>
      </c>
      <c r="B7" s="2" t="s">
        <v>196</v>
      </c>
    </row>
    <row r="8" spans="1:2" ht="30.75" thickBot="1" x14ac:dyDescent="0.3">
      <c r="A8" s="2" t="s">
        <v>181</v>
      </c>
      <c r="B8" s="2" t="s">
        <v>197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29"/>
  <sheetViews>
    <sheetView topLeftCell="B1" zoomScale="130" zoomScaleNormal="130" workbookViewId="0">
      <selection activeCell="C8" sqref="C8"/>
    </sheetView>
  </sheetViews>
  <sheetFormatPr defaultRowHeight="15" x14ac:dyDescent="0.25"/>
  <cols>
    <col min="1" max="1" width="41.28515625" customWidth="1"/>
    <col min="2" max="2" width="20.28515625" customWidth="1"/>
    <col min="3" max="3" width="62.5703125" bestFit="1" customWidth="1"/>
    <col min="4" max="4" width="83.140625" bestFit="1" customWidth="1"/>
  </cols>
  <sheetData>
    <row r="1" spans="1:4" x14ac:dyDescent="0.25">
      <c r="A1" s="48" t="s">
        <v>198</v>
      </c>
      <c r="B1" s="48" t="s">
        <v>199</v>
      </c>
      <c r="C1" s="48" t="s">
        <v>200</v>
      </c>
      <c r="D1" s="48" t="s">
        <v>118</v>
      </c>
    </row>
    <row r="2" spans="1:4" x14ac:dyDescent="0.25">
      <c r="A2" s="87" t="s">
        <v>201</v>
      </c>
      <c r="B2" s="86" t="s">
        <v>202</v>
      </c>
      <c r="C2" s="84" t="s">
        <v>254</v>
      </c>
      <c r="D2" s="68" t="s">
        <v>224</v>
      </c>
    </row>
    <row r="3" spans="1:4" x14ac:dyDescent="0.25">
      <c r="A3" s="88"/>
      <c r="B3" s="86"/>
      <c r="C3" s="84"/>
      <c r="D3" s="68" t="s">
        <v>240</v>
      </c>
    </row>
    <row r="4" spans="1:4" x14ac:dyDescent="0.25">
      <c r="A4" s="85" t="s">
        <v>203</v>
      </c>
      <c r="B4" s="86" t="s">
        <v>204</v>
      </c>
      <c r="C4" s="84" t="s">
        <v>255</v>
      </c>
      <c r="D4" s="68" t="s">
        <v>241</v>
      </c>
    </row>
    <row r="5" spans="1:4" x14ac:dyDescent="0.25">
      <c r="A5" s="85"/>
      <c r="B5" s="86"/>
      <c r="C5" s="84"/>
      <c r="D5" s="68" t="s">
        <v>383</v>
      </c>
    </row>
    <row r="6" spans="1:4" x14ac:dyDescent="0.25">
      <c r="A6" s="49" t="s">
        <v>205</v>
      </c>
      <c r="B6" s="79" t="s">
        <v>206</v>
      </c>
      <c r="C6" s="80" t="s">
        <v>256</v>
      </c>
      <c r="D6" s="68" t="s">
        <v>242</v>
      </c>
    </row>
    <row r="7" spans="1:4" x14ac:dyDescent="0.25">
      <c r="A7" s="50" t="s">
        <v>207</v>
      </c>
      <c r="B7" s="81" t="s">
        <v>258</v>
      </c>
      <c r="C7" s="82" t="s">
        <v>384</v>
      </c>
      <c r="D7" s="68" t="s">
        <v>385</v>
      </c>
    </row>
    <row r="8" spans="1:4" x14ac:dyDescent="0.25">
      <c r="A8" s="60" t="s">
        <v>275</v>
      </c>
      <c r="B8" s="79" t="s">
        <v>257</v>
      </c>
      <c r="C8" s="80" t="s">
        <v>129</v>
      </c>
      <c r="D8" s="68" t="s">
        <v>129</v>
      </c>
    </row>
    <row r="9" spans="1:4" ht="26.25" x14ac:dyDescent="0.25">
      <c r="A9" s="50" t="s">
        <v>273</v>
      </c>
      <c r="B9" s="79" t="s">
        <v>244</v>
      </c>
      <c r="C9" s="83" t="s">
        <v>281</v>
      </c>
      <c r="D9" s="68" t="s">
        <v>225</v>
      </c>
    </row>
    <row r="10" spans="1:4" x14ac:dyDescent="0.25">
      <c r="A10" s="49"/>
      <c r="B10" s="69"/>
      <c r="C10" s="77"/>
      <c r="D10" s="76" t="s">
        <v>129</v>
      </c>
    </row>
    <row r="11" spans="1:4" x14ac:dyDescent="0.25">
      <c r="A11" s="50" t="s">
        <v>274</v>
      </c>
      <c r="B11" s="69" t="s">
        <v>245</v>
      </c>
      <c r="C11" s="78" t="s">
        <v>282</v>
      </c>
      <c r="D11" s="68" t="s">
        <v>226</v>
      </c>
    </row>
    <row r="12" spans="1:4" x14ac:dyDescent="0.25">
      <c r="A12" s="49"/>
      <c r="B12" s="69"/>
      <c r="C12" s="77"/>
      <c r="D12" s="68" t="s">
        <v>227</v>
      </c>
    </row>
    <row r="13" spans="1:4" x14ac:dyDescent="0.25">
      <c r="A13" s="52"/>
      <c r="B13" s="69"/>
      <c r="C13" s="77"/>
      <c r="D13" s="68" t="s">
        <v>228</v>
      </c>
    </row>
    <row r="14" spans="1:4" x14ac:dyDescent="0.25">
      <c r="A14" s="52"/>
      <c r="B14" s="69"/>
      <c r="C14" s="77"/>
      <c r="D14" s="68" t="s">
        <v>229</v>
      </c>
    </row>
    <row r="15" spans="1:4" x14ac:dyDescent="0.25">
      <c r="A15" s="52"/>
      <c r="B15" s="69"/>
      <c r="C15" s="69" t="s">
        <v>208</v>
      </c>
      <c r="D15" s="68" t="s">
        <v>230</v>
      </c>
    </row>
    <row r="16" spans="1:4" x14ac:dyDescent="0.25">
      <c r="A16" s="52"/>
      <c r="B16" s="69"/>
      <c r="C16" s="69"/>
      <c r="D16" s="68" t="s">
        <v>231</v>
      </c>
    </row>
    <row r="17" spans="1:4" x14ac:dyDescent="0.25">
      <c r="A17" s="52"/>
      <c r="B17" s="69"/>
      <c r="C17" s="69" t="s">
        <v>209</v>
      </c>
      <c r="D17" s="68" t="s">
        <v>232</v>
      </c>
    </row>
    <row r="18" spans="1:4" x14ac:dyDescent="0.25">
      <c r="A18" s="52"/>
      <c r="B18" s="69"/>
      <c r="C18" s="69" t="s">
        <v>210</v>
      </c>
      <c r="D18" s="68" t="s">
        <v>233</v>
      </c>
    </row>
    <row r="19" spans="1:4" x14ac:dyDescent="0.25">
      <c r="A19" s="52"/>
      <c r="B19" s="69"/>
      <c r="C19" s="69"/>
      <c r="D19" s="68" t="s">
        <v>234</v>
      </c>
    </row>
    <row r="20" spans="1:4" x14ac:dyDescent="0.25">
      <c r="A20" s="50" t="s">
        <v>211</v>
      </c>
      <c r="B20" s="69" t="s">
        <v>212</v>
      </c>
      <c r="C20" s="77" t="s">
        <v>213</v>
      </c>
      <c r="D20" s="68" t="s">
        <v>386</v>
      </c>
    </row>
    <row r="21" spans="1:4" x14ac:dyDescent="0.25">
      <c r="A21" s="49"/>
      <c r="B21" s="69"/>
      <c r="C21" s="77"/>
      <c r="D21" s="68" t="s">
        <v>387</v>
      </c>
    </row>
    <row r="22" spans="1:4" x14ac:dyDescent="0.25">
      <c r="A22" s="49"/>
      <c r="B22" s="69"/>
      <c r="C22" s="77"/>
      <c r="D22" s="68" t="s">
        <v>236</v>
      </c>
    </row>
    <row r="23" spans="1:4" x14ac:dyDescent="0.25">
      <c r="A23" s="49"/>
      <c r="B23" s="69"/>
      <c r="C23" s="69" t="s">
        <v>214</v>
      </c>
      <c r="D23" s="68" t="s">
        <v>388</v>
      </c>
    </row>
    <row r="24" spans="1:4" x14ac:dyDescent="0.25">
      <c r="A24" s="49"/>
      <c r="B24" s="49"/>
      <c r="C24" s="49"/>
      <c r="D24" s="68" t="s">
        <v>237</v>
      </c>
    </row>
    <row r="25" spans="1:4" x14ac:dyDescent="0.25">
      <c r="A25" s="49"/>
      <c r="B25" s="49"/>
      <c r="C25" s="49"/>
      <c r="D25" s="57" t="s">
        <v>238</v>
      </c>
    </row>
    <row r="26" spans="1:4" x14ac:dyDescent="0.25">
      <c r="A26" s="49"/>
      <c r="B26" s="49"/>
      <c r="C26" s="49"/>
      <c r="D26" s="57" t="s">
        <v>238</v>
      </c>
    </row>
    <row r="27" spans="1:4" ht="39" x14ac:dyDescent="0.25">
      <c r="A27" s="50" t="s">
        <v>261</v>
      </c>
      <c r="B27" s="54" t="s">
        <v>246</v>
      </c>
      <c r="C27" s="59" t="s">
        <v>390</v>
      </c>
      <c r="D27" s="57" t="s">
        <v>239</v>
      </c>
    </row>
    <row r="28" spans="1:4" x14ac:dyDescent="0.25">
      <c r="A28" s="50" t="s">
        <v>215</v>
      </c>
      <c r="B28" s="50" t="s">
        <v>216</v>
      </c>
      <c r="C28" s="50" t="s">
        <v>217</v>
      </c>
      <c r="D28" s="50"/>
    </row>
    <row r="29" spans="1:4" x14ac:dyDescent="0.25">
      <c r="A29" s="51" t="s">
        <v>259</v>
      </c>
      <c r="B29" s="51" t="s">
        <v>260</v>
      </c>
      <c r="C29" s="53" t="s">
        <v>235</v>
      </c>
      <c r="D29" s="57" t="s">
        <v>389</v>
      </c>
    </row>
  </sheetData>
  <mergeCells count="6">
    <mergeCell ref="C2:C3"/>
    <mergeCell ref="A4:A5"/>
    <mergeCell ref="B4:B5"/>
    <mergeCell ref="C4:C5"/>
    <mergeCell ref="A2:A3"/>
    <mergeCell ref="B2:B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01e712b-8f9b-4625-8219-31b20605feb3">
      <Terms xmlns="http://schemas.microsoft.com/office/infopath/2007/PartnerControls"/>
    </lcf76f155ced4ddcb4097134ff3c332f>
    <TaxCatchAll xmlns="2b166a80-dccc-42cc-be33-87bca7e0d87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79A833CF10F444BBAB252802BF889FD" ma:contentTypeVersion="16" ma:contentTypeDescription="Create a new document." ma:contentTypeScope="" ma:versionID="9dbacadc2d62fa235a44cbd896f9338f">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1c5226f60b27328a0a64a71aebd5b96d"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1cccb08-cbc1-4be7-aef6-ff3b7bf618d8"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d3e19f5-1a36-4d74-84ec-443deda0a1df}" ma:internalName="TaxCatchAll" ma:showField="CatchAllData" ma:web="2b166a80-dccc-42cc-be33-87bca7e0d8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570D26-28E5-4B10-84F9-A044851469F7}">
  <ds:schemaRefs>
    <ds:schemaRef ds:uri="http://schemas.microsoft.com/sharepoint/v3/contenttype/forms"/>
  </ds:schemaRefs>
</ds:datastoreItem>
</file>

<file path=customXml/itemProps2.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 ds:uri="c01e712b-8f9b-4625-8219-31b20605feb3"/>
    <ds:schemaRef ds:uri="2b166a80-dccc-42cc-be33-87bca7e0d87c"/>
  </ds:schemaRefs>
</ds:datastoreItem>
</file>

<file path=customXml/itemProps3.xml><?xml version="1.0" encoding="utf-8"?>
<ds:datastoreItem xmlns:ds="http://schemas.openxmlformats.org/officeDocument/2006/customXml" ds:itemID="{0AAC0238-D15C-4B37-AA42-F7BBC8873F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fatstageanchtab</vt:lpstr>
      <vt:lpstr>fatstagesarhtab</vt:lpstr>
      <vt:lpstr>acousticcattab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Nikolioudakis, Nikolaos</cp:lastModifiedBy>
  <cp:revision/>
  <dcterms:created xsi:type="dcterms:W3CDTF">2015-06-05T18:17:20Z</dcterms:created>
  <dcterms:modified xsi:type="dcterms:W3CDTF">2022-06-20T11:15:42Z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y fmtid="{D5CDD505-2E9C-101B-9397-08002B2CF9AE}" pid="3" name="MediaServiceImageTags">
    <vt:lpwstr/>
  </property>
</Properties>
</file>