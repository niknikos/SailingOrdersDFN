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a5213\ownCloud\Nansen\Leg 5.1 2022\SailingOrder\_tables\"/>
    </mc:Choice>
  </mc:AlternateContent>
  <xr:revisionPtr revIDLastSave="0" documentId="13_ncr:1_{8BB80BED-E2F8-4E1C-813C-708920FCA9AB}" xr6:coauthVersionLast="47" xr6:coauthVersionMax="47" xr10:uidLastSave="{00000000-0000-0000-0000-000000000000}"/>
  <bookViews>
    <workbookView xWindow="18210" yWindow="4365" windowWidth="23025" windowHeight="9360" tabRatio="757" firstSheet="7" activeTab="15"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additionalsamplingtab" sheetId="17" r:id="rId12"/>
    <sheet name="fatstageanchtab" sheetId="21" r:id="rId13"/>
    <sheet name="fatstagesarhtab" sheetId="22" r:id="rId14"/>
    <sheet name="acousticcattab" sheetId="18" r:id="rId15"/>
    <sheet name="transectpostab" sheetId="19" r:id="rId16"/>
    <sheet name="transectranktab" sheetId="20" r:id="rId17"/>
    <sheet name="taxonomytab" sheetId="16" r:id="rId18"/>
  </sheets>
  <definedNames>
    <definedName name="_xlnm._FilterDatabase" localSheetId="5" hidden="1">plannedparticipantstab!$A$1:$G$33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M2" i="2"/>
  <c r="N2" i="2"/>
  <c r="F3" i="2"/>
  <c r="M3" i="2"/>
  <c r="N3" i="2"/>
  <c r="F4" i="2"/>
  <c r="M4" i="2"/>
  <c r="N4" i="2"/>
  <c r="F5" i="2"/>
  <c r="M5" i="2"/>
  <c r="N5" i="2"/>
  <c r="F6" i="2"/>
  <c r="M6" i="2"/>
  <c r="N6" i="2"/>
  <c r="F7" i="2"/>
  <c r="M7" i="2"/>
  <c r="N7" i="2" s="1"/>
  <c r="F8" i="2"/>
  <c r="M8" i="2"/>
  <c r="N8" i="2"/>
  <c r="F9" i="2"/>
  <c r="M9" i="2"/>
  <c r="N9" i="2"/>
  <c r="F10" i="2"/>
  <c r="M10" i="2"/>
  <c r="N10" i="2" s="1"/>
  <c r="O10" i="2" l="1"/>
</calcChain>
</file>

<file path=xl/sharedStrings.xml><?xml version="1.0" encoding="utf-8"?>
<sst xmlns="http://schemas.openxmlformats.org/spreadsheetml/2006/main" count="1057" uniqueCount="596">
  <si>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</si>
  <si>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</si>
  <si>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</si>
  <si>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</si>
  <si>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</si>
  <si>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</si>
  <si>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</si>
  <si>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</si>
  <si>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</si>
  <si>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</si>
  <si>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</si>
  <si>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</si>
  <si>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</si>
  <si>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</si>
  <si>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</si>
  <si>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</si>
  <si>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addsamplingtab</t>
  </si>
  <si>
    <t>taxonomytab</t>
  </si>
  <si>
    <t>acousticcattab</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</si>
  <si>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</si>
  <si>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</si>
  <si>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</si>
  <si>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</si>
  <si>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</si>
  <si>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fatstageanchtab</t>
  </si>
  <si>
    <t>fatstagesarhtab</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</si>
  <si>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</si>
  <si>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</si>
  <si>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</si>
  <si>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</si>
  <si>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</si>
  <si>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</si>
  <si>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</si>
  <si>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</si>
  <si>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</si>
  <si>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</si>
  <si>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</si>
  <si>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</si>
  <si>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</si>
  <si>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</si>
  <si>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Nikolaos Nikolioudakis (IMR)</t>
  </si>
  <si>
    <t>Theme 3</t>
  </si>
  <si>
    <t>Bjørn Erik Axelsen (IMR)</t>
  </si>
  <si>
    <t>Survey Name</t>
  </si>
  <si>
    <t>Duration in days</t>
  </si>
  <si>
    <t>Departure</t>
  </si>
  <si>
    <t>Arrival</t>
  </si>
  <si>
    <t>Port of Departure</t>
  </si>
  <si>
    <t>Port of Arrival</t>
  </si>
  <si>
    <t>Cape Town</t>
  </si>
  <si>
    <t>Leg</t>
  </si>
  <si>
    <t>Position/laboratory</t>
  </si>
  <si>
    <t>Min personnel</t>
  </si>
  <si>
    <t>DFN core team</t>
  </si>
  <si>
    <t>DFN core team (IMR)</t>
  </si>
  <si>
    <t>DFN core team (non-IMR)</t>
  </si>
  <si>
    <t>FAO/External experts</t>
  </si>
  <si>
    <t>Total non-IMR personnel</t>
  </si>
  <si>
    <t>Missing personnel</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</si>
  <si>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</si>
  <si>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</si>
  <si>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</si>
  <si>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</si>
  <si>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</si>
  <si>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</si>
  <si>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</si>
  <si>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</si>
  <si>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</si>
  <si>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</si>
  <si>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</si>
  <si>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</si>
  <si>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</si>
  <si>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</si>
  <si>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</si>
  <si>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</si>
  <si>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M</t>
  </si>
  <si>
    <t>IMR</t>
  </si>
  <si>
    <t>NORWAY</t>
  </si>
  <si>
    <t>Fish Team Leader</t>
  </si>
  <si>
    <t>F</t>
  </si>
  <si>
    <t>Chief Instruments Engineer</t>
  </si>
  <si>
    <t>Instruments Engineer</t>
  </si>
  <si>
    <t>DFFE</t>
  </si>
  <si>
    <t>Phytoplankton</t>
  </si>
  <si>
    <t>Mammals and seabirds</t>
  </si>
  <si>
    <t>Bathymetry</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</si>
  <si>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</si>
  <si>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</si>
  <si>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</si>
  <si>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</si>
  <si>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</si>
  <si>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</si>
  <si>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</si>
  <si>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</si>
  <si>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</si>
  <si>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</si>
  <si>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</si>
  <si>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</si>
  <si>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</si>
  <si>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</si>
  <si>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</si>
  <si>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</si>
  <si>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</si>
  <si>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</si>
  <si>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</si>
  <si>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</si>
  <si>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</si>
  <si>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</si>
  <si>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</si>
  <si>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</si>
  <si>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</si>
  <si>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</si>
  <si>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</si>
  <si>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</si>
  <si>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</si>
  <si>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</si>
  <si>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</si>
  <si>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</si>
  <si>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</si>
  <si>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</si>
  <si>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</si>
  <si>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</si>
  <si>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</si>
  <si>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</si>
  <si>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</si>
  <si>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</si>
  <si>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</si>
  <si>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</si>
  <si>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</si>
  <si>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</si>
  <si>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</si>
  <si>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</si>
  <si>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</si>
  <si>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</si>
  <si>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</si>
  <si>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</si>
  <si>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</si>
  <si>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</si>
  <si>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</si>
  <si>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</si>
  <si>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</si>
  <si>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</si>
  <si>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</si>
  <si>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</si>
  <si>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</si>
  <si>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</si>
  <si>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</si>
  <si>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</si>
  <si>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</si>
  <si>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</si>
  <si>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</si>
  <si>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</si>
  <si>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</si>
  <si>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</si>
  <si>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</si>
  <si>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</si>
  <si>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</si>
  <si>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</si>
  <si>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</si>
  <si>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</si>
  <si>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</si>
  <si>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</si>
  <si>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</si>
  <si>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</si>
  <si>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</si>
  <si>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</si>
  <si>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</si>
  <si>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</si>
  <si>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sardine, anchovy and round herring for assessment of their anthropogenic pollutant (herbicides, pharmaceuticals) levels.</t>
  </si>
  <si>
    <t xml:space="preserve">Frozen </t>
  </si>
  <si>
    <t>chub mackerel for collection of meristic information for stock/species identification.</t>
  </si>
  <si>
    <t>Road</t>
  </si>
  <si>
    <t>Hector’s lanternfish and lightfish for basic biology studies.</t>
  </si>
  <si>
    <t>uncommon and/or unidentified mesopelagic fish species for basic biology studies.</t>
  </si>
  <si>
    <t>pelagic gobies for basic biology studies.</t>
  </si>
  <si>
    <t>jellyfish (Chrysaora and Aequorea) tissue for genetic analysis</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</si>
  <si>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</si>
  <si>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</si>
  <si>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</si>
  <si>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</si>
  <si>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</si>
  <si>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</si>
  <si>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</si>
  <si>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</si>
  <si>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</si>
  <si>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</si>
  <si>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</si>
  <si>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</si>
  <si>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</si>
  <si>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</si>
  <si>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</si>
  <si>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</si>
  <si>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</si>
  <si>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</si>
  <si>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</si>
  <si>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</si>
  <si>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</si>
  <si>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</si>
  <si>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</si>
  <si>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</si>
  <si>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</si>
  <si>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</si>
  <si>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</si>
  <si>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</si>
  <si>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</si>
  <si>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</si>
  <si>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</si>
  <si>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</si>
  <si>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</si>
  <si>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</si>
  <si>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</si>
  <si>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</si>
  <si>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</si>
  <si>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</si>
  <si>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</si>
  <si>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</si>
  <si>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</si>
  <si>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</si>
  <si>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</si>
  <si>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</si>
  <si>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</si>
  <si>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</si>
  <si>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</si>
  <si>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</si>
  <si>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</si>
  <si>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t>HMACK </t>
  </si>
  <si>
    <t>Horse mackerel </t>
  </si>
  <si>
    <t>MACKE </t>
  </si>
  <si>
    <t>Mackerel </t>
  </si>
  <si>
    <t>PILCH</t>
  </si>
  <si>
    <t>Scombridae </t>
  </si>
  <si>
    <t>Sphyraenidae </t>
  </si>
  <si>
    <t>Trichiuridae</t>
  </si>
  <si>
    <t>BOTT </t>
  </si>
  <si>
    <t>Demersal species</t>
  </si>
  <si>
    <t>Sparidae^[Main taxa group]</t>
  </si>
  <si>
    <t>Other taxa </t>
  </si>
  <si>
    <t>PLANK </t>
  </si>
  <si>
    <t>Plankton </t>
  </si>
  <si>
    <t>Plankton, Euphausiids</t>
  </si>
  <si>
    <t>Latitude °</t>
  </si>
  <si>
    <t>Longitude °</t>
  </si>
  <si>
    <t>Latitude Decimalized °</t>
  </si>
  <si>
    <t>Longitude Decimalized °</t>
  </si>
  <si>
    <t>Transect numbers</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</si>
  <si>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</si>
  <si>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</si>
  <si>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</si>
  <si>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</si>
  <si>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</si>
  <si>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</si>
  <si>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</si>
  <si>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</si>
  <si>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</si>
  <si>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</si>
  <si>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</si>
  <si>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</si>
  <si>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</si>
  <si>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</si>
  <si>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</si>
  <si>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</si>
  <si>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</si>
  <si>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</si>
  <si>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</si>
  <si>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</si>
  <si>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</si>
  <si>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</si>
  <si>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</si>
  <si>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</si>
  <si>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</si>
  <si>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</si>
  <si>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</si>
  <si>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</si>
  <si>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</si>
  <si>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</si>
  <si>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</si>
  <si>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</si>
  <si>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</si>
  <si>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</si>
  <si>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</si>
  <si>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</si>
  <si>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</si>
  <si>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</si>
  <si>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</si>
  <si>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</si>
  <si>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</si>
  <si>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</si>
  <si>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</si>
  <si>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</si>
  <si>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</si>
  <si>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</si>
  <si>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</si>
  <si>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</si>
  <si>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</si>
  <si>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</si>
  <si>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</si>
  <si>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</si>
  <si>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</si>
  <si>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*Sardinella maderensis*</t>
  </si>
  <si>
    <t>*Ilisha africana*</t>
  </si>
  <si>
    <t>*Selene dorsalis*</t>
  </si>
  <si>
    <t>*Chloroscombrus chrysurus*</t>
  </si>
  <si>
    <t>*Decapterus rhonchus*</t>
  </si>
  <si>
    <t>*Seriola carpenteri*</t>
  </si>
  <si>
    <t>*Auxis thazard*</t>
  </si>
  <si>
    <t>*Sarda sarda*</t>
  </si>
  <si>
    <t>*Sphyraena guachancho*</t>
  </si>
  <si>
    <t>*Trichiurus lepturus*</t>
  </si>
  <si>
    <t>*Lepidopus caudatus*</t>
  </si>
  <si>
    <t>*Brachydeuterus auritus*</t>
  </si>
  <si>
    <t>*Pagellus bellottii*</t>
  </si>
  <si>
    <t>*Ariomma bondi*</t>
  </si>
  <si>
    <t>*Pomadasys incisus*</t>
  </si>
  <si>
    <t>*Diaphus dumerili*</t>
  </si>
  <si>
    <t>*Sardinella aurita*</t>
  </si>
  <si>
    <t>*Trachurus trecae*</t>
  </si>
  <si>
    <t>*Scomber colias*</t>
  </si>
  <si>
    <t>Grand total</t>
  </si>
  <si>
    <t>Pelagic group 1 </t>
  </si>
  <si>
    <t>Pelagic group 2 </t>
  </si>
  <si>
    <t>Mesopelagic fish</t>
  </si>
  <si>
    <t>Anthropogenic pollutants</t>
  </si>
  <si>
    <t>**YES**</t>
  </si>
  <si>
    <t>**√**</t>
  </si>
  <si>
    <t>collected and recorded at sea</t>
  </si>
  <si>
    <t>samples retained for subsequent analysis</t>
  </si>
  <si>
    <t>**YES:**</t>
  </si>
  <si>
    <t>**√:**</t>
  </si>
  <si>
    <t>Location</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</si>
  <si>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</si>
  <si>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</si>
  <si>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</si>
  <si>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</si>
  <si>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</si>
  <si>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OTHER</t>
  </si>
  <si>
    <t>Other</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</si>
  <si>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</si>
  <si>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</si>
  <si>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</si>
  <si>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</si>
  <si>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Dry</t>
  </si>
  <si>
    <t>Vials</t>
  </si>
  <si>
    <t>jellyfish (Chrysaora and Aequorea)</t>
  </si>
  <si>
    <t>Jars</t>
  </si>
  <si>
    <t>96% ethanol for genetics</t>
  </si>
  <si>
    <t>Whole organism if in good condition</t>
  </si>
  <si>
    <t>4% formaldehyde solution</t>
  </si>
  <si>
    <t>pCO2</t>
  </si>
  <si>
    <t>Chlorophyll *a*</t>
  </si>
  <si>
    <t>Peter Psomadakis, Peter.Psomadakis@fao.org</t>
  </si>
  <si>
    <t>Allocation of acoustic densities to species groups.</t>
  </si>
  <si>
    <t>Invertebrate families for which biolocical samples are to be collected for taxonomic courses.</t>
  </si>
  <si>
    <t>Data entry spreadsheet example.</t>
  </si>
  <si>
    <t>List of people planned to participate on the survey.</t>
  </si>
  <si>
    <t>PEL1^[list of species is not exhaustive]</t>
  </si>
  <si>
    <t>PEL2^[list of species is not exhaustive]</t>
  </si>
  <si>
    <t>ANCHO</t>
  </si>
  <si>
    <t>Gonad stage descriptions for anchovy, sardine and round herring used by the Department of Forestry, Fisheries and the Environment.</t>
  </si>
  <si>
    <t>Fat stage descriptions for anchovy used by the Department of Forestry, Fisheries and the Environment.</t>
  </si>
  <si>
    <t>Fat stage descriptions for sardine and round herring used by the Department of Forestry, Fisheries and the Environment.</t>
  </si>
  <si>
    <t>Carl van der Lingen, CVDLingen@dffe.gov.za</t>
  </si>
  <si>
    <t>Deep Vision</t>
  </si>
  <si>
    <t>Clupeiformes^[Except *Sardinella* and *Engraulis* genera when explicit biomass estimates are provided for them]</t>
  </si>
  <si>
    <t>Carangidae^[Except *Trachurus* and *Scomber* genera when explicit biomass estimates are provided for them]</t>
  </si>
  <si>
    <t xml:space="preserve">Activity diary (Survey Logger/Toktlogger) </t>
  </si>
  <si>
    <t>Olex (with input from EK80)</t>
  </si>
  <si>
    <t>DFFE^[Department of Forestry, Fisheries and the Environment]</t>
  </si>
  <si>
    <t>sardine and round herring eggs</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</si>
  <si>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</si>
  <si>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Ichthyoplankton</t>
  </si>
  <si>
    <t>CUFES (continuous underwater fish egg sampler)</t>
  </si>
  <si>
    <t>Åkra trawl without floats (small, 228)</t>
  </si>
  <si>
    <t xml:space="preserve">Åkratrål u/blåser (små, 228) </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</si>
  <si>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</si>
  <si>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</si>
  <si>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</si>
  <si>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</si>
  <si>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</si>
  <si>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</si>
  <si>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</si>
  <si>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</si>
  <si>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</si>
  <si>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</si>
  <si>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</si>
  <si>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</si>
  <si>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</si>
  <si>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</si>
  <si>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</si>
  <si>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</si>
  <si>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</si>
  <si>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</si>
  <si>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</si>
  <si>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</si>
  <si>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</si>
  <si>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</si>
  <si>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SPD Code</t>
  </si>
  <si>
    <t>English name</t>
  </si>
  <si>
    <t>Norwegian name</t>
  </si>
  <si>
    <t>Data or Samples</t>
  </si>
  <si>
    <t>Phytoplankton net</t>
  </si>
  <si>
    <t>Algehåv</t>
  </si>
  <si>
    <t>Juday-36  cm</t>
  </si>
  <si>
    <t>WP II-56 cm</t>
  </si>
  <si>
    <t>Multinet-MIDI</t>
  </si>
  <si>
    <t>Multinet-MAMMOTH</t>
  </si>
  <si>
    <t xml:space="preserve">Bongo 60 cm </t>
  </si>
  <si>
    <t>MANTA-net</t>
  </si>
  <si>
    <t>Benthic sledge</t>
  </si>
  <si>
    <t>Bunnslede</t>
  </si>
  <si>
    <t>Box corer grab</t>
  </si>
  <si>
    <t>Box corer grabb</t>
  </si>
  <si>
    <t>CTD Seabird</t>
  </si>
  <si>
    <t>Not required</t>
  </si>
  <si>
    <t>Acoustic Dopler Current Profiler</t>
  </si>
  <si>
    <t>Plankton</t>
  </si>
  <si>
    <t>Plankton, microplastics</t>
  </si>
  <si>
    <t>Benthos</t>
  </si>
  <si>
    <t>Benthos, sediments</t>
  </si>
  <si>
    <t>Responsible for logging</t>
  </si>
  <si>
    <t>Fish, invertebrates, marine debris</t>
  </si>
  <si>
    <t>Fish, invertebrates, marine debris with images</t>
  </si>
  <si>
    <t>missing!!!</t>
  </si>
  <si>
    <t>Echo sounders (EK 80)</t>
  </si>
  <si>
    <t>Omni-directional Fisheries sonar (SU90)</t>
  </si>
  <si>
    <t>Fish, invertebrates acoustic data</t>
  </si>
  <si>
    <t>Fish acoustic data</t>
  </si>
  <si>
    <t>Weather station</t>
  </si>
  <si>
    <t>Meteorological data (wind speed, direction, temperature, light sensor)</t>
  </si>
  <si>
    <t>Physical/Chemical oceanography</t>
  </si>
  <si>
    <t>Bridge officer</t>
  </si>
  <si>
    <t>Automatic</t>
  </si>
  <si>
    <t>?????</t>
  </si>
  <si>
    <t>Observer</t>
  </si>
  <si>
    <t>Addressing population structure of shared pelagic stocks (*T. capensis*)</t>
  </si>
  <si>
    <t>horse mackerel for parasites analysis for stock identification.</t>
  </si>
  <si>
    <t>horse mackerel otoliths for stock identification.</t>
  </si>
  <si>
    <t>vials</t>
  </si>
  <si>
    <t>horse mackerel fin clips for genetic analysis for stock identification.</t>
  </si>
  <si>
    <t>fin-clips in vials</t>
  </si>
  <si>
    <t>Bergen</t>
  </si>
  <si>
    <t>Air</t>
  </si>
  <si>
    <t>Nikolaos Nikolioudakis, nikolaos.nikolioudakis@hi.no</t>
  </si>
  <si>
    <t>FAO</t>
  </si>
  <si>
    <t>unidentified taxa - Taxonomy</t>
  </si>
  <si>
    <t>Whole individual</t>
  </si>
  <si>
    <t>To remain onboard</t>
  </si>
  <si>
    <t>Leg 5.1 Senegal-Gambia (with calibration of  echosounders of DFN and parallell transects with R/V from Senegal)</t>
  </si>
  <si>
    <t>06/10/22</t>
  </si>
  <si>
    <t>18/10/22</t>
  </si>
  <si>
    <t>Dakar</t>
  </si>
  <si>
    <t>Leg 5.2 Mauritania (with paralell transects with R/V from Mauritania), + Cap Blanc-Cap Boujadour</t>
  </si>
  <si>
    <t>Leg 5.3 cont. Cap Boujadour- Tanger, (with paralell transects with R/V from Morrocco)</t>
  </si>
  <si>
    <t>22/10/22</t>
  </si>
  <si>
    <t>15/11/22</t>
  </si>
  <si>
    <t>18/11/22</t>
  </si>
  <si>
    <t>19/12/22</t>
  </si>
  <si>
    <t>Las Palmas</t>
  </si>
  <si>
    <t>Leg5.1</t>
  </si>
  <si>
    <t>Leg5.2</t>
  </si>
  <si>
    <t>Leg5.3</t>
  </si>
  <si>
    <t>Leg5.4</t>
  </si>
  <si>
    <t>Leg5.5</t>
  </si>
  <si>
    <t>Leg5.6</t>
  </si>
  <si>
    <t>Leg5.7</t>
  </si>
  <si>
    <t>Leg5.8</t>
  </si>
  <si>
    <t>Leg5.9</t>
  </si>
  <si>
    <t>Gambia</t>
  </si>
  <si>
    <t>Senegal</t>
  </si>
  <si>
    <t>Mauritania</t>
  </si>
  <si>
    <t>Morocco</t>
  </si>
  <si>
    <t>Ivory Coast</t>
  </si>
  <si>
    <t>Fabian Zimmermann</t>
  </si>
  <si>
    <t>fabian.zimmermann@hi.no</t>
  </si>
  <si>
    <t>SWITZERLAND</t>
  </si>
  <si>
    <t>Eirik Odland</t>
  </si>
  <si>
    <t>sarah.ann.bruck@hi.no</t>
  </si>
  <si>
    <t>eirik.odland@hi.no</t>
  </si>
  <si>
    <t>Gaston Ezequiel Aguirre</t>
  </si>
  <si>
    <t>Plankton Team Leader</t>
  </si>
  <si>
    <t>Chemical Oceanography Team Leader</t>
  </si>
  <si>
    <t>Sarah Ann Bruck</t>
  </si>
  <si>
    <t xml:space="preserve">Helene Hodal Lødemel </t>
  </si>
  <si>
    <t>gaston.aguirre@hi.no</t>
  </si>
  <si>
    <t>helene.hodal.loedemel@hi.no</t>
  </si>
  <si>
    <t>?</t>
  </si>
  <si>
    <t>Olaf J Søras</t>
  </si>
  <si>
    <t>Jori.Neteland-Kyte@hi.no</t>
  </si>
  <si>
    <t>olaf.j.soeraas@hi.no</t>
  </si>
  <si>
    <t>Jori Neteland-Kyte</t>
  </si>
  <si>
    <t>*Trachurus trachurus*</t>
  </si>
  <si>
    <r>
      <t xml:space="preserve">*Sardina* </t>
    </r>
    <r>
      <rPr>
        <sz val="10"/>
        <color rgb="FF000000"/>
        <rFont val="Calibri"/>
        <family val="2"/>
        <scheme val="minor"/>
      </rPr>
      <t>sp.</t>
    </r>
  </si>
  <si>
    <t>*Sardina pilchardus*</t>
  </si>
  <si>
    <t>*Dentex spp*</t>
  </si>
  <si>
    <t>*Sparus spp*</t>
  </si>
  <si>
    <t>*Merluccius spp*</t>
  </si>
  <si>
    <t>*Brachydeuterus auritus*^[may be put under PEL2 but used as Other in 2019]</t>
  </si>
  <si>
    <t>(e.g. Myctophidae)[Need for separate MESO or merged with Plankton?]</t>
  </si>
  <si>
    <t>-16° 57</t>
  </si>
  <si>
    <t>12° 20.4</t>
  </si>
  <si>
    <t>-17° 14.4</t>
  </si>
  <si>
    <t>-17° 25.8</t>
  </si>
  <si>
    <t>-17° 28.2</t>
  </si>
  <si>
    <t>-17° 36.6</t>
  </si>
  <si>
    <t>12° 30.6</t>
  </si>
  <si>
    <t>-17° 15</t>
  </si>
  <si>
    <t>-17° 12</t>
  </si>
  <si>
    <t>12° 40.2</t>
  </si>
  <si>
    <t>-17° 40.8</t>
  </si>
  <si>
    <t>12° 50.4</t>
  </si>
  <si>
    <t>-17° 7.2</t>
  </si>
  <si>
    <t>-17° 3</t>
  </si>
  <si>
    <t>13° 0.6</t>
  </si>
  <si>
    <t>-17° 39.6</t>
  </si>
  <si>
    <t>-17° 37.2</t>
  </si>
  <si>
    <t>13° 10.2</t>
  </si>
  <si>
    <t>-17° 2.4</t>
  </si>
  <si>
    <t>-17° 1.8</t>
  </si>
  <si>
    <t>13° 20.4</t>
  </si>
  <si>
    <t>-17° 29.4</t>
  </si>
  <si>
    <t>-17° 31.8</t>
  </si>
  <si>
    <t>-17° 34.2</t>
  </si>
  <si>
    <t>13° 30.6</t>
  </si>
  <si>
    <t>-16° 59.4</t>
  </si>
  <si>
    <t>-17° 1.2</t>
  </si>
  <si>
    <t>13° 40.2</t>
  </si>
  <si>
    <t>-17° 28.8</t>
  </si>
  <si>
    <t>13° 40.8</t>
  </si>
  <si>
    <t>13° 50.4</t>
  </si>
  <si>
    <t>14° 0.6</t>
  </si>
  <si>
    <t>-17° 33</t>
  </si>
  <si>
    <t>14° 10.8</t>
  </si>
  <si>
    <t>-17° 6.6</t>
  </si>
  <si>
    <t>-17° 8.4</t>
  </si>
  <si>
    <t>14° 20.4</t>
  </si>
  <si>
    <t>-17° 34.8</t>
  </si>
  <si>
    <t>-17° 37.8</t>
  </si>
  <si>
    <t>14° 30.6</t>
  </si>
  <si>
    <t>-17° 9.6</t>
  </si>
  <si>
    <t>14° 40.8</t>
  </si>
  <si>
    <t>-17° 39</t>
  </si>
  <si>
    <t>14° 50.4</t>
  </si>
  <si>
    <t>14° 47.4</t>
  </si>
  <si>
    <t>-17° 16.8</t>
  </si>
  <si>
    <t>14° 51.6</t>
  </si>
  <si>
    <t>15° 0.6</t>
  </si>
  <si>
    <t>-17° 21.6</t>
  </si>
  <si>
    <t>15° 7.2</t>
  </si>
  <si>
    <t>14° 57</t>
  </si>
  <si>
    <t>15° 5.4</t>
  </si>
  <si>
    <t>15° 13.8</t>
  </si>
  <si>
    <t>15° 16.8</t>
  </si>
  <si>
    <t>15° 27</t>
  </si>
  <si>
    <t>-16° 55.2</t>
  </si>
  <si>
    <t>-16° 50.4</t>
  </si>
  <si>
    <t>15° 22.8</t>
  </si>
  <si>
    <t>-17° 9</t>
  </si>
  <si>
    <t>15° 36</t>
  </si>
  <si>
    <t>-17° 4.8</t>
  </si>
  <si>
    <t>15° 45</t>
  </si>
  <si>
    <t>-16° 45.6</t>
  </si>
  <si>
    <t>15° 31.8</t>
  </si>
  <si>
    <t>-16° 40.2</t>
  </si>
  <si>
    <t>15° 40.2</t>
  </si>
  <si>
    <t>-17° 0</t>
  </si>
  <si>
    <t>15° 54.6</t>
  </si>
  <si>
    <t>-16° 58.2</t>
  </si>
  <si>
    <t>16° 3</t>
  </si>
  <si>
    <t>-16° 35.4</t>
  </si>
  <si>
    <t>15° 51.6</t>
  </si>
  <si>
    <t>Casamance</t>
  </si>
  <si>
    <t>Transect 1</t>
  </si>
  <si>
    <t>Transect 2</t>
  </si>
  <si>
    <t>Transect 3</t>
  </si>
  <si>
    <t>Transect 4</t>
  </si>
  <si>
    <t>Transect 5</t>
  </si>
  <si>
    <t>Transect 6</t>
  </si>
  <si>
    <t>Transect 7</t>
  </si>
  <si>
    <t>Transect 8</t>
  </si>
  <si>
    <t>Transect 9</t>
  </si>
  <si>
    <t>Transect 10</t>
  </si>
  <si>
    <t>Transect 11</t>
  </si>
  <si>
    <t>Transect 12</t>
  </si>
  <si>
    <t>Transect 13</t>
  </si>
  <si>
    <t>Transect 14</t>
  </si>
  <si>
    <t>Transect 15</t>
  </si>
  <si>
    <t>Transect 16</t>
  </si>
  <si>
    <t>Transect 18</t>
  </si>
  <si>
    <t>Transect 17</t>
  </si>
  <si>
    <t>Transect 19</t>
  </si>
  <si>
    <t>Transect 20</t>
  </si>
  <si>
    <t>Transect 21</t>
  </si>
  <si>
    <t>Transect 22</t>
  </si>
  <si>
    <t>Transect 23</t>
  </si>
  <si>
    <t>Transect 24</t>
  </si>
  <si>
    <t>Petite Cote</t>
  </si>
  <si>
    <t>North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</si>
</sst>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2"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
      <b/>
      <u/>
      <sz val="11"/>
      <color theme="1"/>
      <name val="Calibri"/>
      <family val="2"/>
      <scheme val="minor"/>
    </font>
  </fonts>
  <fills count="10">
    <fill>
      <patternFill patternType="none"/>
    </fill>
    <fill>
      <patternFill patternType="gray125"/>
    </fill>
    <fill>
      <patternFill patternType="solid">
        <fgColor rgb="FFFFFF00"/>
        <bgColor rgb="FF000000"/>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FFFFFF"/>
        <bgColor rgb="FF000000"/>
      </patternFill>
    </fill>
    <fill>
      <patternFill patternType="solid">
        <fgColor rgb="FFFFFF00"/>
        <bgColor indexed="64"/>
      </patternFill>
    </fill>
  </fills>
  <borders count="29">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116">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6" fillId="0" borderId="0" xfId="0" applyFont="1"/>
    <xf numFmtId="0" fontId="7" fillId="0" borderId="0" xfId="0" applyFont="1"/>
    <xf numFmtId="0" fontId="8" fillId="0" borderId="0" xfId="0" applyFont="1" applyAlignment="1">
      <alignment wrapText="1"/>
    </xf>
    <xf numFmtId="0" fontId="12" fillId="0" borderId="0" xfId="0" applyFont="1"/>
    <xf numFmtId="0" fontId="14" fillId="0" borderId="5" xfId="0" applyFont="1" applyBorder="1" applyAlignment="1">
      <alignment vertical="center"/>
    </xf>
    <xf numFmtId="0" fontId="15" fillId="0" borderId="0" xfId="0" applyFont="1" applyAlignment="1">
      <alignment vertical="center"/>
    </xf>
    <xf numFmtId="0" fontId="15" fillId="0" borderId="6" xfId="0" applyFont="1" applyBorder="1" applyAlignment="1">
      <alignment vertical="center"/>
    </xf>
    <xf numFmtId="0" fontId="10" fillId="0" borderId="0" xfId="0" applyFont="1" applyAlignment="1">
      <alignment vertical="center" wrapText="1"/>
    </xf>
    <xf numFmtId="0" fontId="3" fillId="0" borderId="0" xfId="1" applyAlignment="1">
      <alignment wrapText="1"/>
    </xf>
    <xf numFmtId="0" fontId="3" fillId="0" borderId="0" xfId="1"/>
    <xf numFmtId="0" fontId="7" fillId="0" borderId="0" xfId="0" applyFont="1" applyAlignment="1">
      <alignment wrapText="1"/>
    </xf>
    <xf numFmtId="0" fontId="8" fillId="0" borderId="0" xfId="0" applyFont="1"/>
    <xf numFmtId="0" fontId="9" fillId="0" borderId="0" xfId="0" applyFont="1" applyAlignment="1">
      <alignment vertical="center" wrapText="1"/>
    </xf>
    <xf numFmtId="0" fontId="16" fillId="0" borderId="0" xfId="0" applyFont="1"/>
    <xf numFmtId="0" fontId="13" fillId="0" borderId="0" xfId="0" applyFont="1" applyAlignment="1">
      <alignment horizontal="center" vertical="center" wrapText="1"/>
    </xf>
    <xf numFmtId="0" fontId="9" fillId="0" borderId="0" xfId="0" applyFont="1" applyAlignment="1">
      <alignment horizontal="center" vertical="center" wrapText="1"/>
    </xf>
    <xf numFmtId="0" fontId="17" fillId="0" borderId="0" xfId="0" applyFont="1" applyAlignment="1">
      <alignment wrapText="1"/>
    </xf>
    <xf numFmtId="0" fontId="0" fillId="0" borderId="0" xfId="0" applyAlignment="1">
      <alignment horizontal="center" vertical="center"/>
    </xf>
    <xf numFmtId="0" fontId="0" fillId="3" borderId="0" xfId="0" applyFill="1"/>
    <xf numFmtId="0" fontId="5" fillId="0" borderId="0" xfId="0" applyFont="1"/>
    <xf numFmtId="0" fontId="3" fillId="0" borderId="0" xfId="1" applyFill="1" applyBorder="1" applyAlignment="1"/>
    <xf numFmtId="0" fontId="3" fillId="0" borderId="0" xfId="1" applyBorder="1"/>
    <xf numFmtId="0" fontId="8" fillId="0" borderId="0" xfId="0" applyFont="1" applyAlignment="1">
      <alignment horizontal="left" wrapText="1"/>
    </xf>
    <xf numFmtId="0" fontId="7" fillId="0" borderId="0" xfId="0" applyFont="1" applyAlignment="1">
      <alignment horizontal="left" wrapText="1"/>
    </xf>
    <xf numFmtId="0" fontId="7" fillId="0" borderId="0" xfId="0" applyFont="1" applyAlignment="1">
      <alignment horizontal="left"/>
    </xf>
    <xf numFmtId="0" fontId="0" fillId="0" borderId="0" xfId="0" applyAlignment="1">
      <alignment horizontal="left"/>
    </xf>
    <xf numFmtId="0" fontId="18" fillId="0" borderId="0" xfId="0" applyFont="1"/>
    <xf numFmtId="0" fontId="19" fillId="0" borderId="0" xfId="0" applyFont="1"/>
    <xf numFmtId="0" fontId="5" fillId="0" borderId="0" xfId="0" applyFont="1" applyAlignment="1">
      <alignment vertical="center"/>
    </xf>
    <xf numFmtId="0" fontId="20" fillId="0" borderId="0" xfId="0" applyFont="1"/>
    <xf numFmtId="164" fontId="8" fillId="0" borderId="0" xfId="0" quotePrefix="1" applyNumberFormat="1" applyFont="1" applyAlignment="1">
      <alignment horizontal="right" wrapText="1"/>
    </xf>
    <xf numFmtId="0" fontId="21" fillId="0" borderId="0" xfId="0" applyFont="1"/>
    <xf numFmtId="0" fontId="7" fillId="4" borderId="0" xfId="0" applyFont="1" applyFill="1"/>
    <xf numFmtId="0" fontId="13" fillId="0" borderId="8" xfId="0" applyFont="1" applyBorder="1" applyAlignment="1">
      <alignment vertical="center" wrapText="1"/>
    </xf>
    <xf numFmtId="0" fontId="13" fillId="0" borderId="9" xfId="0" applyFont="1" applyBorder="1" applyAlignment="1">
      <alignment horizontal="center" vertical="center" wrapText="1"/>
    </xf>
    <xf numFmtId="0" fontId="13" fillId="0" borderId="10" xfId="0" applyFont="1" applyBorder="1" applyAlignment="1">
      <alignment horizontal="center" vertical="center" wrapText="1"/>
    </xf>
    <xf numFmtId="0" fontId="11" fillId="0" borderId="11" xfId="0" applyFont="1" applyBorder="1" applyAlignment="1">
      <alignment vertical="center" wrapText="1"/>
    </xf>
    <xf numFmtId="0" fontId="9" fillId="5" borderId="0" xfId="0" applyFont="1" applyFill="1" applyAlignment="1">
      <alignment horizontal="center" vertical="center" wrapText="1"/>
    </xf>
    <xf numFmtId="0" fontId="9" fillId="6" borderId="0" xfId="0" applyFont="1" applyFill="1" applyAlignment="1">
      <alignment horizontal="center" vertical="center" wrapText="1"/>
    </xf>
    <xf numFmtId="0" fontId="0" fillId="0" borderId="12" xfId="0" applyBorder="1"/>
    <xf numFmtId="0" fontId="22" fillId="0" borderId="0" xfId="0" applyFont="1" applyAlignment="1">
      <alignment horizontal="center" vertical="center" wrapText="1"/>
    </xf>
    <xf numFmtId="0" fontId="9" fillId="0" borderId="11" xfId="0" applyFont="1" applyBorder="1" applyAlignment="1">
      <alignment vertical="center" wrapText="1"/>
    </xf>
    <xf numFmtId="0" fontId="9" fillId="0" borderId="13" xfId="0" applyFont="1" applyBorder="1" applyAlignment="1">
      <alignment vertical="center" wrapText="1"/>
    </xf>
    <xf numFmtId="0" fontId="13" fillId="0" borderId="14" xfId="0" applyFont="1" applyBorder="1" applyAlignment="1">
      <alignment horizontal="center" vertical="center" wrapText="1"/>
    </xf>
    <xf numFmtId="0" fontId="0" fillId="0" borderId="14" xfId="0" applyBorder="1"/>
    <xf numFmtId="0" fontId="0" fillId="0" borderId="15" xfId="0" applyBorder="1"/>
    <xf numFmtId="49" fontId="23" fillId="0" borderId="0" xfId="0" applyNumberFormat="1" applyFont="1"/>
    <xf numFmtId="49" fontId="24" fillId="0" borderId="0" xfId="0" applyNumberFormat="1" applyFont="1"/>
    <xf numFmtId="0" fontId="0" fillId="3" borderId="18" xfId="0" applyFill="1" applyBorder="1"/>
    <xf numFmtId="0" fontId="0" fillId="3" borderId="16" xfId="0" applyFill="1" applyBorder="1"/>
    <xf numFmtId="0" fontId="0" fillId="3" borderId="19" xfId="0" applyFill="1" applyBorder="1"/>
    <xf numFmtId="0" fontId="0" fillId="3" borderId="20" xfId="0" applyFill="1" applyBorder="1"/>
    <xf numFmtId="0" fontId="25" fillId="3" borderId="21" xfId="0" applyFont="1" applyFill="1" applyBorder="1"/>
    <xf numFmtId="0" fontId="0" fillId="3" borderId="22" xfId="0" applyFill="1" applyBorder="1"/>
    <xf numFmtId="0" fontId="25" fillId="3" borderId="23" xfId="0" applyFont="1" applyFill="1" applyBorder="1"/>
    <xf numFmtId="0" fontId="0" fillId="3" borderId="24" xfId="0" applyFill="1" applyBorder="1"/>
    <xf numFmtId="0" fontId="0" fillId="3" borderId="21" xfId="0" applyFill="1" applyBorder="1"/>
    <xf numFmtId="0" fontId="0" fillId="3" borderId="25" xfId="0" applyFill="1" applyBorder="1"/>
    <xf numFmtId="0" fontId="0" fillId="3" borderId="26" xfId="0" applyFill="1" applyBorder="1"/>
    <xf numFmtId="0" fontId="0" fillId="3" borderId="27" xfId="0" applyFill="1" applyBorder="1"/>
    <xf numFmtId="0" fontId="0" fillId="3" borderId="7" xfId="0" applyFill="1" applyBorder="1"/>
    <xf numFmtId="49" fontId="2" fillId="0" borderId="3" xfId="0" applyNumberFormat="1" applyFont="1" applyBorder="1" applyAlignment="1">
      <alignment vertical="center" wrapText="1"/>
    </xf>
    <xf numFmtId="164" fontId="0" fillId="0" borderId="0" xfId="0" quotePrefix="1" applyNumberFormat="1" applyAlignment="1">
      <alignment horizontal="right"/>
    </xf>
    <xf numFmtId="0" fontId="6" fillId="0" borderId="0" xfId="0" applyFont="1" applyProtection="1">
      <protection locked="0"/>
    </xf>
    <xf numFmtId="0" fontId="1" fillId="0" borderId="0" xfId="0" applyFont="1" applyProtection="1">
      <protection locked="0"/>
    </xf>
    <xf numFmtId="0" fontId="7" fillId="0" borderId="0" xfId="0" applyFont="1" applyProtection="1">
      <protection locked="0"/>
    </xf>
    <xf numFmtId="0" fontId="0" fillId="7" borderId="0" xfId="0" applyFill="1" applyProtection="1">
      <protection locked="0"/>
    </xf>
    <xf numFmtId="0" fontId="4" fillId="0" borderId="18" xfId="0" applyFont="1" applyBorder="1" applyAlignment="1">
      <alignment vertical="center" wrapText="1"/>
    </xf>
    <xf numFmtId="0" fontId="0" fillId="0" borderId="18"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0" fillId="0" borderId="0" xfId="0" applyFill="1"/>
    <xf numFmtId="0" fontId="1" fillId="4" borderId="0" xfId="0" applyFont="1" applyFill="1"/>
    <xf numFmtId="0" fontId="22" fillId="0" borderId="0" xfId="0" applyFont="1" applyAlignment="1">
      <alignment vertical="top"/>
    </xf>
    <xf numFmtId="0" fontId="27" fillId="0" borderId="0" xfId="0" applyFont="1" applyAlignment="1">
      <alignment wrapText="1"/>
    </xf>
    <xf numFmtId="0" fontId="28" fillId="0" borderId="0" xfId="0" applyFont="1" applyAlignment="1">
      <alignment wrapText="1"/>
    </xf>
    <xf numFmtId="0" fontId="28" fillId="0" borderId="16" xfId="0" applyFont="1" applyBorder="1" applyAlignment="1">
      <alignment wrapText="1"/>
    </xf>
    <xf numFmtId="0" fontId="29" fillId="0" borderId="0" xfId="0" applyFont="1" applyAlignment="1">
      <alignment wrapText="1"/>
    </xf>
    <xf numFmtId="0" fontId="29" fillId="0" borderId="16" xfId="0" applyFont="1" applyBorder="1" applyAlignment="1">
      <alignment wrapText="1"/>
    </xf>
    <xf numFmtId="0" fontId="28" fillId="8" borderId="16" xfId="0" applyFont="1" applyFill="1" applyBorder="1"/>
    <xf numFmtId="0" fontId="28" fillId="0" borderId="0" xfId="0" applyFont="1"/>
    <xf numFmtId="0" fontId="28" fillId="0" borderId="16" xfId="0" applyFont="1" applyBorder="1"/>
    <xf numFmtId="0" fontId="30" fillId="0" borderId="0" xfId="0" applyFont="1"/>
    <xf numFmtId="0" fontId="11" fillId="0" borderId="16" xfId="0" applyFont="1" applyBorder="1"/>
    <xf numFmtId="0" fontId="28" fillId="0" borderId="17" xfId="0" applyFont="1" applyBorder="1"/>
    <xf numFmtId="0" fontId="4" fillId="0" borderId="18" xfId="0" applyFont="1" applyBorder="1" applyAlignment="1">
      <alignment vertical="center" wrapText="1"/>
    </xf>
    <xf numFmtId="0" fontId="29" fillId="0" borderId="16" xfId="0" applyFont="1" applyBorder="1" applyAlignment="1">
      <alignment wrapText="1"/>
    </xf>
    <xf numFmtId="0" fontId="28" fillId="0" borderId="16" xfId="0" applyFont="1" applyBorder="1" applyAlignment="1">
      <alignment wrapText="1"/>
    </xf>
    <xf numFmtId="0" fontId="7" fillId="0" borderId="0" xfId="0" applyFont="1" applyFill="1" applyAlignment="1">
      <alignment horizontal="center"/>
    </xf>
    <xf numFmtId="0" fontId="29" fillId="0" borderId="16" xfId="0" applyFont="1" applyBorder="1" applyAlignment="1">
      <alignment wrapText="1"/>
    </xf>
    <xf numFmtId="0" fontId="7" fillId="0" borderId="0" xfId="0" applyFont="1" applyAlignment="1">
      <alignment horizontal="center"/>
    </xf>
    <xf numFmtId="0" fontId="11" fillId="0" borderId="16" xfId="0" applyFont="1" applyBorder="1" applyAlignment="1">
      <alignment wrapText="1"/>
    </xf>
    <xf numFmtId="0" fontId="9" fillId="0" borderId="17" xfId="0" applyFont="1" applyBorder="1"/>
    <xf numFmtId="0" fontId="9" fillId="0" borderId="16" xfId="0" applyFont="1" applyBorder="1" applyAlignment="1">
      <alignment wrapText="1"/>
    </xf>
    <xf numFmtId="0" fontId="9" fillId="0" borderId="16" xfId="0" applyFont="1" applyBorder="1"/>
    <xf numFmtId="0" fontId="3" fillId="0" borderId="0" xfId="1" applyBorder="1" applyAlignment="1"/>
    <xf numFmtId="0" fontId="7" fillId="0" borderId="0" xfId="0" applyFont="1" applyBorder="1"/>
    <xf numFmtId="0" fontId="7" fillId="0" borderId="0" xfId="0" applyFont="1"/>
    <xf numFmtId="0" fontId="7" fillId="0" borderId="0" xfId="0" applyFont="1" applyFill="1"/>
    <xf numFmtId="0" fontId="7" fillId="2" borderId="0" xfId="0" applyFont="1" applyFill="1" applyAlignment="1">
      <alignment horizontal="center"/>
    </xf>
    <xf numFmtId="0" fontId="0" fillId="0" borderId="0" xfId="0" applyAlignment="1">
      <alignment vertical="center"/>
    </xf>
    <xf numFmtId="0" fontId="1" fillId="0" borderId="0" xfId="0" applyFont="1" applyAlignment="1">
      <alignment horizontal="center" vertical="center"/>
    </xf>
    <xf numFmtId="0" fontId="31" fillId="9" borderId="0" xfId="0" applyFont="1" applyFill="1" applyAlignment="1">
      <alignment horizontal="center" vertical="center"/>
    </xf>
    <xf numFmtId="0" fontId="1" fillId="9" borderId="0" xfId="0" applyFont="1" applyFill="1" applyAlignment="1">
      <alignment vertical="center"/>
    </xf>
    <xf numFmtId="0" fontId="1" fillId="9" borderId="0" xfId="0" applyFont="1" applyFill="1" applyAlignment="1">
      <alignment horizontal="center" vertical="center"/>
    </xf>
    <xf numFmtId="0" fontId="7" fillId="0" borderId="0" xfId="0" applyFont="1" applyAlignment="1">
      <alignment horizontal="center"/>
    </xf>
    <xf numFmtId="0" fontId="29" fillId="0" borderId="16" xfId="0" applyFont="1" applyBorder="1" applyAlignment="1">
      <alignment wrapText="1"/>
    </xf>
    <xf numFmtId="0" fontId="29" fillId="0" borderId="0" xfId="0" applyFont="1" applyBorder="1" applyAlignment="1">
      <alignment wrapText="1"/>
    </xf>
    <xf numFmtId="0" fontId="28" fillId="0" borderId="0" xfId="0" applyFont="1" applyAlignment="1">
      <alignment wrapText="1"/>
    </xf>
    <xf numFmtId="0" fontId="28" fillId="8" borderId="0" xfId="0" applyFont="1" applyFill="1" applyBorder="1" applyAlignment="1">
      <alignment wrapText="1"/>
    </xf>
    <xf numFmtId="0" fontId="28" fillId="0" borderId="16" xfId="0" applyFont="1" applyBorder="1" applyAlignment="1">
      <alignment wrapText="1"/>
    </xf>
    <xf numFmtId="0" fontId="28" fillId="0" borderId="0"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sarah.ann.bruck@hi.no" TargetMode="External"/><Relationship Id="rId7" Type="http://schemas.openxmlformats.org/officeDocument/2006/relationships/printerSettings" Target="../printerSettings/printerSettings6.bin"/><Relationship Id="rId2" Type="http://schemas.openxmlformats.org/officeDocument/2006/relationships/hyperlink" Target="mailto:Jori.Neteland-Kyte@hi.no" TargetMode="External"/><Relationship Id="rId1" Type="http://schemas.openxmlformats.org/officeDocument/2006/relationships/hyperlink" Target="mailto:fabian.zimmermann@hi.no" TargetMode="External"/><Relationship Id="rId6" Type="http://schemas.openxmlformats.org/officeDocument/2006/relationships/hyperlink" Target="mailto:helene.hodal.loedemel@hi.no" TargetMode="External"/><Relationship Id="rId5" Type="http://schemas.openxmlformats.org/officeDocument/2006/relationships/hyperlink" Target="mailto:olaf.j.soeraas@hi.no" TargetMode="External"/><Relationship Id="rId4" Type="http://schemas.openxmlformats.org/officeDocument/2006/relationships/hyperlink" Target="mailto:eirik.odland@hi.no"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6" sqref="B6"/>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368</v>
      </c>
    </row>
    <row r="6" spans="1:2" x14ac:dyDescent="0.25">
      <c r="A6" s="5" t="s">
        <v>9</v>
      </c>
      <c r="B6" s="5" t="s">
        <v>10</v>
      </c>
    </row>
    <row r="7" spans="1:2" x14ac:dyDescent="0.25">
      <c r="A7" s="5" t="s">
        <v>11</v>
      </c>
      <c r="B7" s="102" t="s">
        <v>12</v>
      </c>
    </row>
    <row r="8" spans="1:2" ht="15.75" x14ac:dyDescent="0.25">
      <c r="A8" s="7" t="s">
        <v>13</v>
      </c>
      <c r="B8" s="5" t="s">
        <v>14</v>
      </c>
    </row>
    <row r="9" spans="1:2" x14ac:dyDescent="0.25">
      <c r="A9" s="5" t="s">
        <v>15</v>
      </c>
      <c r="B9" s="5" t="s">
        <v>353</v>
      </c>
    </row>
    <row r="10" spans="1:2" x14ac:dyDescent="0.25">
      <c r="A10" t="s">
        <v>16</v>
      </c>
      <c r="B10" s="5" t="s">
        <v>352</v>
      </c>
    </row>
    <row r="11" spans="1:2" ht="15.75" x14ac:dyDescent="0.25">
      <c r="A11" s="7" t="s">
        <v>17</v>
      </c>
      <c r="B11" s="5" t="s">
        <v>351</v>
      </c>
    </row>
    <row r="12" spans="1:2" x14ac:dyDescent="0.25">
      <c r="A12" t="s">
        <v>18</v>
      </c>
      <c r="B12" t="s">
        <v>350</v>
      </c>
    </row>
    <row r="13" spans="1:2" x14ac:dyDescent="0.25">
      <c r="A13" t="s">
        <v>19</v>
      </c>
      <c r="B13" t="s">
        <v>20</v>
      </c>
    </row>
    <row r="14" spans="1:2" x14ac:dyDescent="0.25">
      <c r="A14" t="s">
        <v>21</v>
      </c>
      <c r="B14" t="s">
        <v>22</v>
      </c>
    </row>
    <row r="15" spans="1:2" x14ac:dyDescent="0.25">
      <c r="A15" t="s">
        <v>23</v>
      </c>
      <c r="B15" t="s">
        <v>357</v>
      </c>
    </row>
    <row r="16" spans="1:2" x14ac:dyDescent="0.25">
      <c r="A16" t="s">
        <v>24</v>
      </c>
      <c r="B16" t="s">
        <v>358</v>
      </c>
    </row>
    <row r="17" spans="1:2" x14ac:dyDescent="0.25">
      <c r="A17" t="s">
        <v>25</v>
      </c>
      <c r="B17" t="s">
        <v>359</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26</v>
      </c>
      <c r="B1" s="1" t="s">
        <v>1</v>
      </c>
    </row>
    <row r="2" spans="1:2" x14ac:dyDescent="0.25">
      <c r="A2" t="s">
        <v>27</v>
      </c>
      <c r="B2" s="5" t="s">
        <v>296</v>
      </c>
    </row>
    <row r="3" spans="1:2" x14ac:dyDescent="0.25">
      <c r="A3" t="s">
        <v>28</v>
      </c>
      <c r="B3" s="5" t="s">
        <v>29</v>
      </c>
    </row>
    <row r="4" spans="1:2" x14ac:dyDescent="0.25">
      <c r="A4" s="75" t="s">
        <v>30</v>
      </c>
      <c r="B4" s="5" t="s">
        <v>31</v>
      </c>
    </row>
    <row r="5" spans="1:2" x14ac:dyDescent="0.25">
      <c r="A5" t="s">
        <v>291</v>
      </c>
      <c r="B5" s="5" t="s">
        <v>293</v>
      </c>
    </row>
    <row r="6" spans="1:2" x14ac:dyDescent="0.25">
      <c r="A6" t="s">
        <v>292</v>
      </c>
      <c r="B6" s="5" t="s">
        <v>294</v>
      </c>
    </row>
    <row r="7" spans="1:2" x14ac:dyDescent="0.25">
      <c r="A7" t="s">
        <v>32</v>
      </c>
      <c r="B7" s="5" t="s">
        <v>295</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E5" sqref="E5"/>
    </sheetView>
  </sheetViews>
  <sheetFormatPr defaultColWidth="8.85546875" defaultRowHeight="15" x14ac:dyDescent="0.25"/>
  <cols>
    <col min="1" max="1" width="27.28515625" bestFit="1" customWidth="1"/>
    <col min="2" max="2" width="15.42578125" bestFit="1" customWidth="1"/>
    <col min="3" max="4" width="10.7109375" bestFit="1" customWidth="1"/>
    <col min="5" max="5" width="16.42578125" bestFit="1" customWidth="1"/>
    <col min="6" max="6" width="13.42578125" bestFit="1" customWidth="1"/>
  </cols>
  <sheetData>
    <row r="1" spans="1:6" x14ac:dyDescent="0.25">
      <c r="A1" s="4" t="s">
        <v>43</v>
      </c>
      <c r="B1" s="4" t="s">
        <v>44</v>
      </c>
      <c r="C1" s="4" t="s">
        <v>45</v>
      </c>
      <c r="D1" s="4" t="s">
        <v>46</v>
      </c>
      <c r="E1" s="4" t="s">
        <v>47</v>
      </c>
      <c r="F1" s="4" t="s">
        <v>48</v>
      </c>
    </row>
    <row r="2" spans="1:6" x14ac:dyDescent="0.25">
      <c r="A2" t="s">
        <v>446</v>
      </c>
      <c r="B2" s="6">
        <v>13</v>
      </c>
      <c r="C2" s="34" t="s">
        <v>447</v>
      </c>
      <c r="D2" s="34" t="s">
        <v>448</v>
      </c>
      <c r="E2" s="32" t="s">
        <v>449</v>
      </c>
      <c r="F2" s="32" t="s">
        <v>449</v>
      </c>
    </row>
    <row r="3" spans="1:6" x14ac:dyDescent="0.25">
      <c r="A3" s="33" t="s">
        <v>450</v>
      </c>
      <c r="B3" s="6">
        <v>25</v>
      </c>
      <c r="C3" s="34" t="s">
        <v>452</v>
      </c>
      <c r="D3" s="34" t="s">
        <v>453</v>
      </c>
      <c r="E3" s="32" t="s">
        <v>449</v>
      </c>
      <c r="F3" s="32" t="s">
        <v>449</v>
      </c>
    </row>
    <row r="4" spans="1:6" x14ac:dyDescent="0.25">
      <c r="A4" s="33" t="s">
        <v>451</v>
      </c>
      <c r="B4">
        <v>29</v>
      </c>
      <c r="C4" s="34" t="s">
        <v>454</v>
      </c>
      <c r="D4" s="66" t="s">
        <v>455</v>
      </c>
      <c r="E4" t="s">
        <v>456</v>
      </c>
      <c r="F4" t="s">
        <v>456</v>
      </c>
    </row>
  </sheetData>
  <phoneticPr fontId="2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election activeCell="B3" sqref="B3"/>
    </sheetView>
  </sheetViews>
  <sheetFormatPr defaultColWidth="8.85546875" defaultRowHeight="15" x14ac:dyDescent="0.25"/>
  <cols>
    <col min="1" max="1" width="15" customWidth="1"/>
    <col min="2" max="2" width="62.42578125" customWidth="1"/>
    <col min="3" max="3" width="50.42578125" customWidth="1"/>
  </cols>
  <sheetData>
    <row r="1" spans="1:3" x14ac:dyDescent="0.25">
      <c r="A1" s="11" t="s">
        <v>33</v>
      </c>
      <c r="B1" s="11" t="s">
        <v>34</v>
      </c>
      <c r="C1" s="11" t="s">
        <v>35</v>
      </c>
    </row>
    <row r="2" spans="1:3" x14ac:dyDescent="0.25">
      <c r="A2" s="16" t="s">
        <v>36</v>
      </c>
      <c r="B2" s="16" t="s">
        <v>37</v>
      </c>
      <c r="C2" s="16" t="s">
        <v>38</v>
      </c>
    </row>
    <row r="3" spans="1:3" ht="25.5" x14ac:dyDescent="0.25">
      <c r="A3" s="16" t="s">
        <v>39</v>
      </c>
      <c r="B3" s="16" t="s">
        <v>433</v>
      </c>
      <c r="C3" s="16" t="s">
        <v>40</v>
      </c>
    </row>
    <row r="4" spans="1:3" x14ac:dyDescent="0.25">
      <c r="A4" s="16" t="s">
        <v>41</v>
      </c>
      <c r="B4" s="16" t="s">
        <v>297</v>
      </c>
      <c r="C4" s="16" t="s">
        <v>42</v>
      </c>
    </row>
    <row r="5" spans="1:3" ht="25.5" x14ac:dyDescent="0.25">
      <c r="A5" s="16" t="s">
        <v>337</v>
      </c>
      <c r="B5" s="16" t="s">
        <v>338</v>
      </c>
      <c r="C5" s="16" t="s">
        <v>339</v>
      </c>
    </row>
    <row r="6" spans="1:3" x14ac:dyDescent="0.25">
      <c r="A6" s="16"/>
      <c r="B6" s="16"/>
      <c r="C6" s="16"/>
    </row>
    <row r="7" spans="1:3" x14ac:dyDescent="0.25">
      <c r="A7" s="16"/>
      <c r="B7" s="16"/>
      <c r="C7" s="16"/>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7"/>
      <c r="B12" s="17"/>
      <c r="C12"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10"/>
  <sheetViews>
    <sheetView workbookViewId="0">
      <selection activeCell="I4" sqref="I4"/>
    </sheetView>
  </sheetViews>
  <sheetFormatPr defaultColWidth="8.85546875" defaultRowHeight="15" x14ac:dyDescent="0.25"/>
  <cols>
    <col min="1" max="1" width="6.85546875" bestFit="1" customWidth="1"/>
    <col min="2" max="2" width="26.7109375" bestFit="1" customWidth="1"/>
    <col min="3" max="3" width="14.5703125" bestFit="1" customWidth="1"/>
    <col min="4" max="4" width="14.85546875" bestFit="1" customWidth="1"/>
    <col min="5" max="5" width="19.140625" bestFit="1" customWidth="1"/>
    <col min="6" max="6" width="25.28515625" customWidth="1"/>
    <col min="7" max="7" width="7.28515625" bestFit="1" customWidth="1"/>
    <col min="8" max="8" width="7.28515625" customWidth="1"/>
    <col min="9" max="9" width="12.28515625" bestFit="1" customWidth="1"/>
    <col min="10" max="10" width="20.5703125" bestFit="1" customWidth="1"/>
    <col min="11" max="11" width="20.5703125" customWidth="1"/>
    <col min="12" max="13" width="23.7109375" bestFit="1" customWidth="1"/>
    <col min="14" max="14" width="18.140625" customWidth="1"/>
  </cols>
  <sheetData>
    <row r="1" spans="1:15" ht="25.9" customHeight="1" x14ac:dyDescent="0.25">
      <c r="A1" s="67" t="s">
        <v>50</v>
      </c>
      <c r="B1" s="67" t="s">
        <v>51</v>
      </c>
      <c r="C1" s="67" t="s">
        <v>52</v>
      </c>
      <c r="D1" s="67" t="s">
        <v>53</v>
      </c>
      <c r="E1" s="67" t="s">
        <v>54</v>
      </c>
      <c r="F1" s="67" t="s">
        <v>55</v>
      </c>
      <c r="G1" s="67" t="s">
        <v>466</v>
      </c>
      <c r="H1" s="67" t="s">
        <v>470</v>
      </c>
      <c r="I1" s="67" t="s">
        <v>468</v>
      </c>
      <c r="J1" s="67" t="s">
        <v>469</v>
      </c>
      <c r="K1" s="67" t="s">
        <v>467</v>
      </c>
      <c r="L1" s="67" t="s">
        <v>56</v>
      </c>
      <c r="M1" s="67" t="s">
        <v>57</v>
      </c>
      <c r="N1" s="68" t="s">
        <v>58</v>
      </c>
      <c r="O1" s="67" t="s">
        <v>317</v>
      </c>
    </row>
    <row r="2" spans="1:15" x14ac:dyDescent="0.25">
      <c r="A2" s="69" t="s">
        <v>457</v>
      </c>
      <c r="B2" s="69" t="s">
        <v>59</v>
      </c>
      <c r="C2" s="36">
        <v>1</v>
      </c>
      <c r="D2" s="36">
        <v>1</v>
      </c>
      <c r="E2" s="69">
        <v>1</v>
      </c>
      <c r="F2" s="70" t="str">
        <f t="shared" ref="F2:F10" si="0">IF(D2&gt;0, IF(D2-E2=0,"",D2-E2), IF(E2&gt;0,E2,""))</f>
        <v/>
      </c>
      <c r="G2" s="69"/>
      <c r="H2" s="69"/>
      <c r="I2" s="69"/>
      <c r="J2" s="69"/>
      <c r="K2" s="69"/>
      <c r="L2" s="69"/>
      <c r="M2" s="70" t="str">
        <f t="shared" ref="M2:M10" si="1">IF(SUM(G2:L2)=0,"",SUM(G2:L2))</f>
        <v/>
      </c>
      <c r="N2" s="70" t="str">
        <f t="shared" ref="N2:N10" si="2">IF(C2=D2,"",IF(M2="", "", C2-(D2+M2)))</f>
        <v/>
      </c>
    </row>
    <row r="3" spans="1:15" x14ac:dyDescent="0.25">
      <c r="A3" s="69" t="s">
        <v>458</v>
      </c>
      <c r="B3" s="69" t="s">
        <v>60</v>
      </c>
      <c r="C3" s="36">
        <v>1</v>
      </c>
      <c r="D3" s="36">
        <v>1</v>
      </c>
      <c r="E3" s="69"/>
      <c r="F3" s="70">
        <f t="shared" si="0"/>
        <v>1</v>
      </c>
      <c r="G3" s="69">
        <v>1</v>
      </c>
      <c r="H3" s="69"/>
      <c r="I3" s="69"/>
      <c r="J3" s="69"/>
      <c r="K3" s="69"/>
      <c r="L3" s="69"/>
      <c r="M3" s="70">
        <f t="shared" si="1"/>
        <v>1</v>
      </c>
      <c r="N3" s="70" t="str">
        <f t="shared" si="2"/>
        <v/>
      </c>
    </row>
    <row r="4" spans="1:15" x14ac:dyDescent="0.25">
      <c r="A4" s="69" t="s">
        <v>459</v>
      </c>
      <c r="B4" s="69" t="s">
        <v>61</v>
      </c>
      <c r="C4" s="36"/>
      <c r="D4" s="36"/>
      <c r="E4" s="69"/>
      <c r="F4" s="70" t="str">
        <f t="shared" si="0"/>
        <v/>
      </c>
      <c r="G4" s="69"/>
      <c r="H4" s="69"/>
      <c r="I4" s="69">
        <v>1</v>
      </c>
      <c r="J4" s="69"/>
      <c r="K4" s="69">
        <v>1</v>
      </c>
      <c r="L4" s="69"/>
      <c r="M4" s="70">
        <f t="shared" si="1"/>
        <v>2</v>
      </c>
      <c r="N4" s="70" t="str">
        <f t="shared" si="2"/>
        <v/>
      </c>
    </row>
    <row r="5" spans="1:15" x14ac:dyDescent="0.25">
      <c r="A5" s="69" t="s">
        <v>460</v>
      </c>
      <c r="B5" s="69" t="s">
        <v>62</v>
      </c>
      <c r="C5" s="36"/>
      <c r="D5" s="36"/>
      <c r="E5" s="69"/>
      <c r="F5" s="70" t="str">
        <f t="shared" si="0"/>
        <v/>
      </c>
      <c r="G5" s="69"/>
      <c r="H5" s="69">
        <v>1</v>
      </c>
      <c r="I5" s="69"/>
      <c r="J5" s="69"/>
      <c r="K5" s="69"/>
      <c r="L5" s="69"/>
      <c r="M5" s="70">
        <f t="shared" si="1"/>
        <v>1</v>
      </c>
      <c r="N5" s="70" t="str">
        <f t="shared" si="2"/>
        <v/>
      </c>
    </row>
    <row r="6" spans="1:15" x14ac:dyDescent="0.25">
      <c r="A6" s="69" t="s">
        <v>461</v>
      </c>
      <c r="B6" s="69" t="s">
        <v>63</v>
      </c>
      <c r="C6" s="36"/>
      <c r="D6" s="36"/>
      <c r="E6" s="69"/>
      <c r="F6" s="70" t="str">
        <f t="shared" si="0"/>
        <v/>
      </c>
      <c r="G6" s="69">
        <v>1</v>
      </c>
      <c r="H6" s="69"/>
      <c r="I6" s="69"/>
      <c r="J6" s="69">
        <v>1</v>
      </c>
      <c r="K6" s="69">
        <v>2</v>
      </c>
      <c r="L6" s="69"/>
      <c r="M6" s="70">
        <f t="shared" si="1"/>
        <v>4</v>
      </c>
      <c r="N6" s="70" t="str">
        <f t="shared" si="2"/>
        <v/>
      </c>
    </row>
    <row r="7" spans="1:15" x14ac:dyDescent="0.25">
      <c r="A7" s="69" t="s">
        <v>462</v>
      </c>
      <c r="B7" s="69" t="s">
        <v>64</v>
      </c>
      <c r="C7" s="36">
        <v>11</v>
      </c>
      <c r="D7" s="36">
        <v>2</v>
      </c>
      <c r="E7" s="69">
        <v>2</v>
      </c>
      <c r="F7" s="70" t="str">
        <f t="shared" si="0"/>
        <v/>
      </c>
      <c r="G7" s="69">
        <v>3</v>
      </c>
      <c r="H7" s="69"/>
      <c r="I7" s="69">
        <v>1</v>
      </c>
      <c r="J7" s="69"/>
      <c r="K7" s="69">
        <v>5</v>
      </c>
      <c r="L7" s="69"/>
      <c r="M7" s="70">
        <f t="shared" si="1"/>
        <v>9</v>
      </c>
      <c r="N7" s="70">
        <f t="shared" si="2"/>
        <v>0</v>
      </c>
    </row>
    <row r="8" spans="1:15" x14ac:dyDescent="0.25">
      <c r="A8" s="69" t="s">
        <v>463</v>
      </c>
      <c r="B8" s="69" t="s">
        <v>65</v>
      </c>
      <c r="C8" s="36"/>
      <c r="D8" s="36"/>
      <c r="E8" s="69"/>
      <c r="F8" s="70" t="str">
        <f t="shared" si="0"/>
        <v/>
      </c>
      <c r="G8" s="69"/>
      <c r="H8" s="69"/>
      <c r="I8" s="69"/>
      <c r="J8" s="69"/>
      <c r="K8" s="69"/>
      <c r="L8" s="69"/>
      <c r="M8" s="70" t="str">
        <f t="shared" si="1"/>
        <v/>
      </c>
      <c r="N8" s="70" t="str">
        <f t="shared" si="2"/>
        <v/>
      </c>
    </row>
    <row r="9" spans="1:15" x14ac:dyDescent="0.25">
      <c r="A9" s="69" t="s">
        <v>464</v>
      </c>
      <c r="B9" s="69" t="s">
        <v>66</v>
      </c>
      <c r="C9" s="36">
        <v>2</v>
      </c>
      <c r="D9" s="36">
        <v>2</v>
      </c>
      <c r="E9" s="69">
        <v>2</v>
      </c>
      <c r="F9" s="70" t="str">
        <f t="shared" si="0"/>
        <v/>
      </c>
      <c r="G9" s="69"/>
      <c r="H9" s="69"/>
      <c r="I9" s="69"/>
      <c r="J9" s="69"/>
      <c r="K9" s="69"/>
      <c r="L9" s="69"/>
      <c r="M9" s="70" t="str">
        <f t="shared" si="1"/>
        <v/>
      </c>
      <c r="N9" s="70" t="str">
        <f t="shared" si="2"/>
        <v/>
      </c>
    </row>
    <row r="10" spans="1:15" x14ac:dyDescent="0.25">
      <c r="A10" s="69" t="s">
        <v>465</v>
      </c>
      <c r="B10" s="69" t="s">
        <v>67</v>
      </c>
      <c r="C10" s="36">
        <v>4</v>
      </c>
      <c r="D10" s="36"/>
      <c r="E10" s="69"/>
      <c r="F10" s="70" t="str">
        <f t="shared" si="0"/>
        <v/>
      </c>
      <c r="G10" s="69"/>
      <c r="H10" s="69"/>
      <c r="I10" s="69"/>
      <c r="J10" s="69"/>
      <c r="K10" s="69"/>
      <c r="L10" s="69"/>
      <c r="M10" s="70" t="str">
        <f t="shared" si="1"/>
        <v/>
      </c>
      <c r="N10" s="70" t="str">
        <f t="shared" si="2"/>
        <v/>
      </c>
      <c r="O10" s="76">
        <f>SUM(D2:D10)+SUM(M2:M10)</f>
        <v>23</v>
      </c>
    </row>
  </sheetData>
  <phoneticPr fontId="26"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3"/>
  <sheetViews>
    <sheetView zoomScale="110" zoomScaleNormal="110" workbookViewId="0">
      <selection activeCell="B9" sqref="B9"/>
    </sheetView>
  </sheetViews>
  <sheetFormatPr defaultColWidth="8.85546875" defaultRowHeight="15" x14ac:dyDescent="0.25"/>
  <cols>
    <col min="1" max="1" width="10.85546875" bestFit="1" customWidth="1"/>
    <col min="2" max="2" width="28.7109375" bestFit="1" customWidth="1"/>
    <col min="3" max="3" width="36" style="29" customWidth="1"/>
    <col min="4" max="4" width="31.42578125" bestFit="1" customWidth="1"/>
    <col min="5" max="5" width="4.140625" bestFit="1" customWidth="1"/>
    <col min="6" max="6" width="12" bestFit="1" customWidth="1"/>
    <col min="7" max="7" width="14" bestFit="1" customWidth="1"/>
  </cols>
  <sheetData>
    <row r="1" spans="1:7" x14ac:dyDescent="0.25">
      <c r="A1" s="5" t="s">
        <v>68</v>
      </c>
      <c r="B1" s="5" t="s">
        <v>69</v>
      </c>
      <c r="C1" s="28" t="s">
        <v>70</v>
      </c>
      <c r="D1" s="5" t="s">
        <v>71</v>
      </c>
      <c r="E1" s="5" t="s">
        <v>72</v>
      </c>
      <c r="F1" s="5" t="s">
        <v>73</v>
      </c>
      <c r="G1" s="5" t="s">
        <v>74</v>
      </c>
    </row>
    <row r="2" spans="1:7" x14ac:dyDescent="0.25">
      <c r="A2" s="5" t="s">
        <v>457</v>
      </c>
      <c r="B2" s="5" t="s">
        <v>471</v>
      </c>
      <c r="C2" s="5" t="s">
        <v>59</v>
      </c>
      <c r="D2" s="12" t="s">
        <v>472</v>
      </c>
      <c r="E2" s="5" t="s">
        <v>75</v>
      </c>
      <c r="F2" s="5" t="s">
        <v>76</v>
      </c>
      <c r="G2" s="5" t="s">
        <v>473</v>
      </c>
    </row>
    <row r="3" spans="1:7" x14ac:dyDescent="0.25">
      <c r="A3" s="101" t="s">
        <v>457</v>
      </c>
      <c r="B3" s="5" t="s">
        <v>480</v>
      </c>
      <c r="C3" s="5" t="s">
        <v>78</v>
      </c>
      <c r="D3" s="13" t="s">
        <v>475</v>
      </c>
      <c r="E3" s="5" t="s">
        <v>79</v>
      </c>
      <c r="F3" s="5" t="s">
        <v>76</v>
      </c>
      <c r="G3" s="5" t="s">
        <v>77</v>
      </c>
    </row>
    <row r="4" spans="1:7" x14ac:dyDescent="0.25">
      <c r="A4" s="101" t="s">
        <v>457</v>
      </c>
      <c r="B4" s="5" t="s">
        <v>474</v>
      </c>
      <c r="C4" s="5" t="s">
        <v>78</v>
      </c>
      <c r="D4" s="13" t="s">
        <v>476</v>
      </c>
      <c r="E4" s="5" t="s">
        <v>75</v>
      </c>
      <c r="F4" s="5" t="s">
        <v>76</v>
      </c>
      <c r="G4" s="5" t="s">
        <v>77</v>
      </c>
    </row>
    <row r="5" spans="1:7" x14ac:dyDescent="0.25">
      <c r="A5" s="101" t="s">
        <v>457</v>
      </c>
      <c r="B5" s="101" t="s">
        <v>477</v>
      </c>
      <c r="C5" s="101" t="s">
        <v>478</v>
      </c>
      <c r="D5" s="13" t="s">
        <v>482</v>
      </c>
      <c r="E5" s="101" t="s">
        <v>75</v>
      </c>
      <c r="F5" s="101" t="s">
        <v>76</v>
      </c>
      <c r="G5" s="101" t="s">
        <v>484</v>
      </c>
    </row>
    <row r="6" spans="1:7" x14ac:dyDescent="0.25">
      <c r="A6" s="101" t="s">
        <v>457</v>
      </c>
      <c r="B6" s="101" t="s">
        <v>481</v>
      </c>
      <c r="C6" s="101" t="s">
        <v>479</v>
      </c>
      <c r="D6" s="13" t="s">
        <v>483</v>
      </c>
      <c r="E6" s="101" t="s">
        <v>79</v>
      </c>
      <c r="F6" s="101" t="s">
        <v>76</v>
      </c>
      <c r="G6" s="101" t="s">
        <v>77</v>
      </c>
    </row>
    <row r="7" spans="1:7" x14ac:dyDescent="0.25">
      <c r="A7" s="101" t="s">
        <v>457</v>
      </c>
      <c r="B7" s="5" t="s">
        <v>485</v>
      </c>
      <c r="C7" s="5" t="s">
        <v>80</v>
      </c>
      <c r="D7" s="13" t="s">
        <v>487</v>
      </c>
      <c r="E7" s="5" t="s">
        <v>75</v>
      </c>
      <c r="F7" s="5" t="s">
        <v>76</v>
      </c>
      <c r="G7" s="5" t="s">
        <v>77</v>
      </c>
    </row>
    <row r="8" spans="1:7" x14ac:dyDescent="0.25">
      <c r="A8" s="101" t="s">
        <v>457</v>
      </c>
      <c r="B8" s="5" t="s">
        <v>488</v>
      </c>
      <c r="C8" s="5" t="s">
        <v>81</v>
      </c>
      <c r="D8" s="13" t="s">
        <v>486</v>
      </c>
      <c r="E8" s="5" t="s">
        <v>75</v>
      </c>
      <c r="F8" s="5" t="s">
        <v>76</v>
      </c>
      <c r="G8" s="5" t="s">
        <v>77</v>
      </c>
    </row>
    <row r="9" spans="1:7" x14ac:dyDescent="0.25">
      <c r="A9" s="101"/>
      <c r="B9" s="5"/>
      <c r="C9" s="5"/>
      <c r="D9" s="13"/>
      <c r="E9" s="5"/>
      <c r="F9" s="5"/>
      <c r="G9" s="5"/>
    </row>
    <row r="10" spans="1:7" x14ac:dyDescent="0.25">
      <c r="A10" s="101"/>
      <c r="B10" s="5"/>
      <c r="C10" s="5"/>
      <c r="D10" s="99"/>
      <c r="E10" s="100"/>
      <c r="F10" s="5"/>
      <c r="G10" s="5"/>
    </row>
    <row r="11" spans="1:7" x14ac:dyDescent="0.25">
      <c r="A11" s="101"/>
      <c r="B11" s="5"/>
      <c r="C11" s="5"/>
      <c r="D11" s="99"/>
      <c r="E11" s="100"/>
      <c r="F11" s="5"/>
      <c r="G11" s="5"/>
    </row>
    <row r="12" spans="1:7" x14ac:dyDescent="0.25">
      <c r="A12" s="101"/>
      <c r="B12" s="5"/>
      <c r="C12" s="5"/>
      <c r="D12" s="99"/>
      <c r="E12" s="100"/>
      <c r="F12" s="5"/>
      <c r="G12" s="5"/>
    </row>
    <row r="13" spans="1:7" x14ac:dyDescent="0.25">
      <c r="A13" s="101"/>
      <c r="B13" s="5"/>
      <c r="C13" s="5"/>
      <c r="D13" s="99"/>
      <c r="E13" s="100"/>
      <c r="F13" s="5"/>
      <c r="G13" s="5"/>
    </row>
    <row r="14" spans="1:7" x14ac:dyDescent="0.25">
      <c r="A14" s="101"/>
      <c r="B14" s="5"/>
      <c r="C14" s="5"/>
      <c r="D14" s="99"/>
      <c r="E14" s="100"/>
      <c r="F14" s="5"/>
      <c r="G14" s="5"/>
    </row>
    <row r="15" spans="1:7" x14ac:dyDescent="0.25">
      <c r="A15" s="101"/>
      <c r="B15" s="5"/>
      <c r="C15" s="5"/>
      <c r="D15" s="99"/>
      <c r="E15" s="100"/>
      <c r="F15" s="5"/>
      <c r="G15" s="5"/>
    </row>
    <row r="16" spans="1:7" x14ac:dyDescent="0.25">
      <c r="A16" s="101"/>
      <c r="B16" s="5"/>
      <c r="C16" s="5"/>
      <c r="D16" s="99"/>
      <c r="E16" s="100"/>
      <c r="F16" s="5"/>
      <c r="G16" s="5"/>
    </row>
    <row r="17" spans="1:7" x14ac:dyDescent="0.25">
      <c r="A17" s="101"/>
      <c r="B17" s="5"/>
      <c r="C17" s="5"/>
      <c r="D17" s="99"/>
      <c r="E17" s="100"/>
      <c r="F17" s="5"/>
      <c r="G17" s="5"/>
    </row>
    <row r="18" spans="1:7" x14ac:dyDescent="0.25">
      <c r="A18" s="101"/>
      <c r="B18" s="5"/>
      <c r="C18" s="5"/>
      <c r="D18" s="25"/>
      <c r="E18" s="100"/>
      <c r="F18" s="5"/>
      <c r="G18" s="5"/>
    </row>
    <row r="19" spans="1:7" x14ac:dyDescent="0.25">
      <c r="A19" s="101"/>
      <c r="B19" s="5"/>
      <c r="C19" s="5"/>
      <c r="D19" s="25"/>
      <c r="E19" s="100"/>
      <c r="F19" s="101"/>
      <c r="G19" s="5"/>
    </row>
    <row r="20" spans="1:7" x14ac:dyDescent="0.25">
      <c r="A20" s="101"/>
      <c r="B20" s="5"/>
      <c r="C20" s="5"/>
      <c r="D20" s="25"/>
      <c r="E20" s="100"/>
      <c r="F20" s="101"/>
      <c r="G20" s="5"/>
    </row>
    <row r="21" spans="1:7" x14ac:dyDescent="0.25">
      <c r="A21" s="101"/>
      <c r="B21" s="5"/>
      <c r="C21" s="5"/>
      <c r="D21" s="25"/>
      <c r="E21" s="100"/>
      <c r="F21" s="101"/>
      <c r="G21" s="5"/>
    </row>
    <row r="22" spans="1:7" x14ac:dyDescent="0.25">
      <c r="A22" s="101"/>
      <c r="B22" s="5"/>
      <c r="C22" s="5"/>
      <c r="D22" s="25"/>
      <c r="E22" s="100"/>
      <c r="F22" s="5"/>
      <c r="G22" s="5"/>
    </row>
    <row r="23" spans="1:7" x14ac:dyDescent="0.25">
      <c r="A23" s="101"/>
      <c r="B23" s="5"/>
      <c r="C23" s="5"/>
      <c r="D23" s="99"/>
      <c r="E23" s="100"/>
      <c r="F23" s="5"/>
      <c r="G23" s="5"/>
    </row>
    <row r="24" spans="1:7" x14ac:dyDescent="0.25">
      <c r="A24" s="101"/>
      <c r="B24" s="5"/>
      <c r="C24" s="5"/>
      <c r="D24" s="99"/>
      <c r="E24" s="100"/>
      <c r="F24" s="5"/>
      <c r="G24" s="5"/>
    </row>
    <row r="25" spans="1:7" x14ac:dyDescent="0.25">
      <c r="A25" s="101"/>
      <c r="B25" s="5"/>
      <c r="C25" s="5"/>
      <c r="D25" s="99"/>
      <c r="E25" s="100"/>
      <c r="F25" s="5"/>
      <c r="G25" s="5"/>
    </row>
    <row r="26" spans="1:7" x14ac:dyDescent="0.25">
      <c r="A26" s="101"/>
      <c r="B26" s="5"/>
      <c r="C26" s="5"/>
      <c r="D26" s="25"/>
      <c r="E26" s="100"/>
      <c r="F26" s="101"/>
      <c r="G26" s="5"/>
    </row>
    <row r="27" spans="1:7" x14ac:dyDescent="0.25">
      <c r="A27" s="101"/>
      <c r="B27" s="5"/>
      <c r="C27" s="5"/>
      <c r="D27" s="25"/>
      <c r="E27" s="100"/>
      <c r="F27" s="101"/>
      <c r="G27" s="5"/>
    </row>
    <row r="28" spans="1:7" x14ac:dyDescent="0.25">
      <c r="A28" s="101"/>
      <c r="B28" s="5"/>
      <c r="C28" s="5"/>
      <c r="D28" s="99"/>
      <c r="E28" s="100"/>
      <c r="F28" s="101"/>
      <c r="G28" s="5"/>
    </row>
    <row r="29" spans="1:7" x14ac:dyDescent="0.25">
      <c r="A29" s="101"/>
      <c r="B29" s="5"/>
      <c r="C29" s="5"/>
      <c r="D29" s="99"/>
      <c r="E29" s="100"/>
      <c r="F29" s="101"/>
      <c r="G29" s="5"/>
    </row>
    <row r="30" spans="1:7" x14ac:dyDescent="0.25">
      <c r="A30" s="5"/>
      <c r="B30" s="5"/>
      <c r="C30" s="5"/>
      <c r="E30" s="5"/>
      <c r="F30" s="5"/>
      <c r="G30" s="5"/>
    </row>
    <row r="31" spans="1:7" x14ac:dyDescent="0.25">
      <c r="A31" s="5"/>
      <c r="B31" s="5"/>
      <c r="C31" s="5"/>
      <c r="E31" s="5"/>
      <c r="F31" s="5"/>
      <c r="G31" s="5"/>
    </row>
    <row r="32" spans="1:7" x14ac:dyDescent="0.25">
      <c r="A32" s="5"/>
      <c r="B32" s="5"/>
      <c r="C32" s="5"/>
      <c r="E32" s="5"/>
      <c r="F32" s="5"/>
      <c r="G32" s="5"/>
    </row>
    <row r="33" spans="1:7" ht="15.75" customHeight="1" x14ac:dyDescent="0.25">
      <c r="A33" s="5"/>
      <c r="B33" s="5"/>
      <c r="C33" s="5"/>
      <c r="E33" s="5"/>
      <c r="F33" s="5"/>
      <c r="G33" s="5"/>
    </row>
    <row r="34" spans="1:7" ht="15.75" customHeight="1" x14ac:dyDescent="0.25">
      <c r="A34" s="35"/>
    </row>
    <row r="35" spans="1:7" x14ac:dyDescent="0.25">
      <c r="A35" s="15"/>
      <c r="B35" s="15"/>
      <c r="C35" s="26"/>
      <c r="D35" s="14"/>
      <c r="E35" s="5"/>
      <c r="F35" s="14"/>
      <c r="G35" s="5"/>
    </row>
    <row r="36" spans="1:7" x14ac:dyDescent="0.25">
      <c r="A36" s="15"/>
      <c r="B36" s="15"/>
      <c r="C36" s="26"/>
      <c r="D36" s="14"/>
      <c r="E36" s="5"/>
      <c r="F36" s="5"/>
      <c r="G36" s="5"/>
    </row>
    <row r="37" spans="1:7" x14ac:dyDescent="0.25">
      <c r="A37" s="15"/>
      <c r="B37" s="23"/>
      <c r="C37" s="26"/>
      <c r="D37" s="24"/>
      <c r="E37" s="5"/>
      <c r="F37" s="5"/>
      <c r="G37" s="5"/>
    </row>
    <row r="38" spans="1:7" x14ac:dyDescent="0.25">
      <c r="A38" s="15"/>
      <c r="B38" s="23"/>
      <c r="C38" s="26"/>
      <c r="D38" s="24"/>
      <c r="E38" s="5"/>
      <c r="F38" s="5"/>
      <c r="G38" s="5"/>
    </row>
    <row r="39" spans="1:7" x14ac:dyDescent="0.25">
      <c r="A39" s="15"/>
      <c r="B39" s="15"/>
      <c r="C39" s="26"/>
      <c r="D39" s="24"/>
      <c r="E39" s="5"/>
      <c r="F39" s="5"/>
      <c r="G39" s="5"/>
    </row>
    <row r="40" spans="1:7" x14ac:dyDescent="0.25">
      <c r="A40" s="15"/>
      <c r="B40" s="15"/>
      <c r="C40" s="26"/>
      <c r="D40" s="14"/>
      <c r="E40" s="5"/>
      <c r="F40" s="5"/>
      <c r="G40" s="5"/>
    </row>
    <row r="41" spans="1:7" x14ac:dyDescent="0.25">
      <c r="A41" s="15"/>
      <c r="B41" s="15"/>
      <c r="C41" s="26"/>
      <c r="D41" s="14"/>
      <c r="E41" s="5"/>
      <c r="F41" s="5"/>
      <c r="G41" s="5"/>
    </row>
    <row r="42" spans="1:7" x14ac:dyDescent="0.25">
      <c r="A42" s="15"/>
      <c r="B42" s="15"/>
      <c r="C42" s="26"/>
      <c r="D42" s="14"/>
      <c r="E42" s="5"/>
      <c r="F42" s="5"/>
      <c r="G42" s="5"/>
    </row>
    <row r="43" spans="1:7" x14ac:dyDescent="0.25">
      <c r="A43" s="15"/>
      <c r="B43" s="15"/>
      <c r="C43" s="26"/>
      <c r="D43" s="14"/>
      <c r="E43" s="5"/>
      <c r="F43" s="5"/>
      <c r="G43" s="5"/>
    </row>
    <row r="44" spans="1:7" x14ac:dyDescent="0.25">
      <c r="A44" s="15"/>
      <c r="B44" s="23"/>
      <c r="C44" s="26"/>
      <c r="D44" s="24"/>
      <c r="E44" s="5"/>
      <c r="F44" s="5"/>
      <c r="G44" s="5"/>
    </row>
    <row r="45" spans="1:7" x14ac:dyDescent="0.25">
      <c r="A45" s="15"/>
      <c r="B45" s="23"/>
      <c r="C45" s="26"/>
      <c r="D45" s="14"/>
      <c r="E45" s="5"/>
      <c r="F45" s="5"/>
      <c r="G45" s="5"/>
    </row>
    <row r="46" spans="1:7" x14ac:dyDescent="0.25">
      <c r="A46" s="15"/>
      <c r="B46" s="15"/>
      <c r="C46" s="26"/>
      <c r="D46" s="14"/>
      <c r="E46" s="5"/>
      <c r="F46" s="5"/>
      <c r="G46" s="5"/>
    </row>
    <row r="47" spans="1:7" x14ac:dyDescent="0.25">
      <c r="A47" s="15"/>
      <c r="B47" s="23"/>
      <c r="C47" s="26"/>
      <c r="D47" s="24"/>
      <c r="E47" s="5"/>
      <c r="F47" s="5"/>
      <c r="G47" s="5"/>
    </row>
    <row r="48" spans="1:7" x14ac:dyDescent="0.25">
      <c r="A48" s="15"/>
      <c r="B48" s="15"/>
      <c r="C48" s="26"/>
      <c r="D48" s="14"/>
      <c r="E48" s="5"/>
      <c r="F48" s="5"/>
      <c r="G48" s="5"/>
    </row>
    <row r="49" spans="1:7" x14ac:dyDescent="0.25">
      <c r="A49" s="15"/>
      <c r="B49" s="15"/>
      <c r="C49" s="26"/>
      <c r="D49" s="14"/>
      <c r="E49" s="5"/>
      <c r="F49" s="5"/>
      <c r="G49" s="5"/>
    </row>
    <row r="50" spans="1:7" x14ac:dyDescent="0.25">
      <c r="A50" s="15"/>
      <c r="B50" s="23"/>
      <c r="C50" s="27"/>
      <c r="D50" s="14"/>
      <c r="E50" s="5"/>
      <c r="F50" s="5"/>
      <c r="G50" s="5"/>
    </row>
    <row r="51" spans="1:7" x14ac:dyDescent="0.25">
      <c r="A51" s="15"/>
      <c r="B51" s="5"/>
      <c r="C51" s="27"/>
      <c r="D51" s="24"/>
      <c r="E51" s="5"/>
      <c r="F51" s="5"/>
      <c r="G51" s="5"/>
    </row>
    <row r="52" spans="1:7" x14ac:dyDescent="0.25">
      <c r="A52" s="5"/>
      <c r="B52" s="30"/>
      <c r="C52" s="27"/>
      <c r="D52" s="24"/>
      <c r="E52" s="5"/>
      <c r="F52" s="5"/>
      <c r="G52" s="5"/>
    </row>
    <row r="53" spans="1:7" x14ac:dyDescent="0.25">
      <c r="A53" s="5"/>
      <c r="B53" s="23"/>
      <c r="C53" s="27"/>
      <c r="E53" s="5"/>
      <c r="F53" s="5"/>
      <c r="G53" s="5"/>
    </row>
  </sheetData>
  <phoneticPr fontId="26" type="noConversion"/>
  <hyperlinks>
    <hyperlink ref="D2" r:id="rId1" xr:uid="{00000000-0004-0000-0500-000000000000}"/>
    <hyperlink ref="D8" r:id="rId2" xr:uid="{00000000-0004-0000-0500-000002000000}"/>
    <hyperlink ref="D3" r:id="rId3" xr:uid="{344C63E3-9A65-4114-8BCF-CCA318E8278B}"/>
    <hyperlink ref="D4" r:id="rId4" xr:uid="{1232EF87-C1AD-4F97-A6FA-8655B6659B48}"/>
    <hyperlink ref="D7" r:id="rId5" xr:uid="{4E0501A0-15D5-4D15-A36B-F94CD611A446}"/>
    <hyperlink ref="D6" r:id="rId6" xr:uid="{320A8DDA-E427-4898-B165-B19CDF6DA3AA}"/>
  </hyperlinks>
  <pageMargins left="0.7" right="0.7" top="0.75" bottom="0.75" header="0.3" footer="0.3"/>
  <pageSetup paperSize="9" orientation="portrait"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A15" sqref="A15:XFD16"/>
    </sheetView>
  </sheetViews>
  <sheetFormatPr defaultColWidth="8.85546875" defaultRowHeight="15" x14ac:dyDescent="0.25"/>
  <cols>
    <col min="1" max="1" width="26" bestFit="1" customWidth="1"/>
    <col min="2" max="2" width="62.28515625" customWidth="1"/>
    <col min="3" max="3" width="48" bestFit="1" customWidth="1"/>
    <col min="4" max="4" width="65.28515625" bestFit="1" customWidth="1"/>
    <col min="5" max="5" width="22.140625" bestFit="1" customWidth="1"/>
  </cols>
  <sheetData>
    <row r="1" spans="1:5" x14ac:dyDescent="0.25">
      <c r="A1" s="1" t="s">
        <v>395</v>
      </c>
      <c r="B1" s="1" t="s">
        <v>396</v>
      </c>
      <c r="C1" s="1" t="s">
        <v>397</v>
      </c>
      <c r="D1" s="105" t="s">
        <v>398</v>
      </c>
      <c r="E1" s="1" t="s">
        <v>418</v>
      </c>
    </row>
    <row r="2" spans="1:5" x14ac:dyDescent="0.25">
      <c r="A2" s="21">
        <v>3587</v>
      </c>
      <c r="B2" s="104" t="s">
        <v>371</v>
      </c>
      <c r="C2" s="104" t="s">
        <v>372</v>
      </c>
      <c r="D2" s="21" t="s">
        <v>419</v>
      </c>
      <c r="E2" s="21" t="s">
        <v>429</v>
      </c>
    </row>
    <row r="3" spans="1:5" x14ac:dyDescent="0.25">
      <c r="A3" s="21">
        <v>3588</v>
      </c>
      <c r="B3" s="104" t="s">
        <v>373</v>
      </c>
      <c r="C3" s="104" t="s">
        <v>374</v>
      </c>
      <c r="D3" s="21" t="s">
        <v>419</v>
      </c>
      <c r="E3" s="21" t="s">
        <v>429</v>
      </c>
    </row>
    <row r="4" spans="1:5" x14ac:dyDescent="0.25">
      <c r="A4" s="21">
        <v>3596</v>
      </c>
      <c r="B4" s="104" t="s">
        <v>375</v>
      </c>
      <c r="C4" s="104" t="s">
        <v>375</v>
      </c>
      <c r="D4" s="21" t="s">
        <v>419</v>
      </c>
      <c r="E4" s="21" t="s">
        <v>429</v>
      </c>
    </row>
    <row r="5" spans="1:5" x14ac:dyDescent="0.25">
      <c r="A5" s="21">
        <v>3597</v>
      </c>
      <c r="B5" s="104" t="s">
        <v>376</v>
      </c>
      <c r="C5" s="104" t="s">
        <v>377</v>
      </c>
      <c r="D5" s="21" t="s">
        <v>419</v>
      </c>
      <c r="E5" s="21" t="s">
        <v>429</v>
      </c>
    </row>
    <row r="6" spans="1:5" x14ac:dyDescent="0.25">
      <c r="A6" s="21">
        <v>3598</v>
      </c>
      <c r="B6" s="104" t="s">
        <v>378</v>
      </c>
      <c r="C6" s="104" t="s">
        <v>379</v>
      </c>
      <c r="D6" s="21" t="s">
        <v>420</v>
      </c>
      <c r="E6" s="21" t="s">
        <v>429</v>
      </c>
    </row>
    <row r="7" spans="1:5" x14ac:dyDescent="0.25">
      <c r="A7" s="21">
        <v>3599</v>
      </c>
      <c r="B7" s="104" t="s">
        <v>380</v>
      </c>
      <c r="C7" s="104" t="s">
        <v>381</v>
      </c>
      <c r="D7" s="21" t="s">
        <v>420</v>
      </c>
      <c r="E7" s="21" t="s">
        <v>429</v>
      </c>
    </row>
    <row r="8" spans="1:5" x14ac:dyDescent="0.25">
      <c r="A8" s="21">
        <v>3031</v>
      </c>
      <c r="B8" s="104" t="s">
        <v>382</v>
      </c>
      <c r="C8" s="104" t="s">
        <v>383</v>
      </c>
      <c r="D8" s="21" t="s">
        <v>419</v>
      </c>
      <c r="E8" s="21" t="s">
        <v>429</v>
      </c>
    </row>
    <row r="9" spans="1:5" x14ac:dyDescent="0.25">
      <c r="A9" s="21">
        <v>3032</v>
      </c>
      <c r="B9" s="104" t="s">
        <v>384</v>
      </c>
      <c r="C9" s="104" t="s">
        <v>385</v>
      </c>
      <c r="D9" s="21" t="s">
        <v>419</v>
      </c>
      <c r="E9" s="21" t="s">
        <v>429</v>
      </c>
    </row>
    <row r="10" spans="1:5" x14ac:dyDescent="0.25">
      <c r="A10" s="21">
        <v>3033</v>
      </c>
      <c r="B10" s="104" t="s">
        <v>386</v>
      </c>
      <c r="C10" s="104" t="s">
        <v>387</v>
      </c>
      <c r="D10" s="21" t="s">
        <v>419</v>
      </c>
      <c r="E10" s="21" t="s">
        <v>429</v>
      </c>
    </row>
    <row r="11" spans="1:5" x14ac:dyDescent="0.25">
      <c r="A11" s="21">
        <v>3034</v>
      </c>
      <c r="B11" s="104" t="s">
        <v>388</v>
      </c>
      <c r="C11" s="104" t="s">
        <v>389</v>
      </c>
      <c r="D11" s="21" t="s">
        <v>419</v>
      </c>
      <c r="E11" s="21" t="s">
        <v>429</v>
      </c>
    </row>
    <row r="12" spans="1:5" x14ac:dyDescent="0.25">
      <c r="A12" s="21">
        <v>3548</v>
      </c>
      <c r="B12" s="104" t="s">
        <v>390</v>
      </c>
      <c r="C12" s="104" t="s">
        <v>391</v>
      </c>
      <c r="D12" s="21" t="s">
        <v>419</v>
      </c>
      <c r="E12" s="21" t="s">
        <v>429</v>
      </c>
    </row>
    <row r="13" spans="1:5" x14ac:dyDescent="0.25">
      <c r="A13" s="21">
        <v>3549</v>
      </c>
      <c r="B13" s="104" t="s">
        <v>392</v>
      </c>
      <c r="C13" s="104" t="s">
        <v>391</v>
      </c>
      <c r="D13" s="21" t="s">
        <v>419</v>
      </c>
      <c r="E13" s="21" t="s">
        <v>429</v>
      </c>
    </row>
    <row r="14" spans="1:5" x14ac:dyDescent="0.25">
      <c r="A14" s="21">
        <v>3136</v>
      </c>
      <c r="B14" s="104" t="s">
        <v>393</v>
      </c>
      <c r="C14" s="104" t="s">
        <v>394</v>
      </c>
      <c r="D14" s="21" t="s">
        <v>419</v>
      </c>
      <c r="E14" s="21" t="s">
        <v>429</v>
      </c>
    </row>
    <row r="15" spans="1:5" x14ac:dyDescent="0.25">
      <c r="A15" s="21">
        <v>2105</v>
      </c>
      <c r="B15" s="104" t="s">
        <v>399</v>
      </c>
      <c r="C15" s="104" t="s">
        <v>400</v>
      </c>
      <c r="D15" s="21" t="s">
        <v>414</v>
      </c>
      <c r="E15" s="21" t="s">
        <v>429</v>
      </c>
    </row>
    <row r="16" spans="1:5" x14ac:dyDescent="0.25">
      <c r="A16" s="21">
        <v>2121</v>
      </c>
      <c r="B16" s="104" t="s">
        <v>401</v>
      </c>
      <c r="C16" s="104" t="s">
        <v>401</v>
      </c>
      <c r="D16" s="21" t="s">
        <v>414</v>
      </c>
      <c r="E16" s="21" t="s">
        <v>429</v>
      </c>
    </row>
    <row r="17" spans="1:5" x14ac:dyDescent="0.25">
      <c r="A17" s="21">
        <v>2133</v>
      </c>
      <c r="B17" s="104" t="s">
        <v>402</v>
      </c>
      <c r="C17" s="104" t="s">
        <v>402</v>
      </c>
      <c r="D17" s="21" t="s">
        <v>414</v>
      </c>
      <c r="E17" s="21" t="s">
        <v>429</v>
      </c>
    </row>
    <row r="18" spans="1:5" x14ac:dyDescent="0.25">
      <c r="A18" s="21">
        <v>2152</v>
      </c>
      <c r="B18" s="104" t="s">
        <v>403</v>
      </c>
      <c r="C18" s="104" t="s">
        <v>403</v>
      </c>
      <c r="D18" s="21" t="s">
        <v>414</v>
      </c>
      <c r="E18" s="21" t="s">
        <v>429</v>
      </c>
    </row>
    <row r="19" spans="1:5" x14ac:dyDescent="0.25">
      <c r="A19" s="21">
        <v>2154</v>
      </c>
      <c r="B19" s="104" t="s">
        <v>404</v>
      </c>
      <c r="C19" s="104" t="s">
        <v>404</v>
      </c>
      <c r="D19" s="21" t="s">
        <v>414</v>
      </c>
      <c r="E19" s="21" t="s">
        <v>429</v>
      </c>
    </row>
    <row r="20" spans="1:5" x14ac:dyDescent="0.25">
      <c r="A20" s="21">
        <v>2314</v>
      </c>
      <c r="B20" s="104" t="s">
        <v>405</v>
      </c>
      <c r="C20" s="104" t="s">
        <v>405</v>
      </c>
      <c r="D20" s="21" t="s">
        <v>414</v>
      </c>
      <c r="E20" s="21" t="s">
        <v>429</v>
      </c>
    </row>
    <row r="21" spans="1:5" x14ac:dyDescent="0.25">
      <c r="A21" s="21">
        <v>2375</v>
      </c>
      <c r="B21" s="104" t="s">
        <v>406</v>
      </c>
      <c r="C21" s="104" t="s">
        <v>406</v>
      </c>
      <c r="D21" s="21" t="s">
        <v>415</v>
      </c>
      <c r="E21" s="21" t="s">
        <v>429</v>
      </c>
    </row>
    <row r="22" spans="1:5" x14ac:dyDescent="0.25">
      <c r="A22" s="21">
        <v>2410</v>
      </c>
      <c r="B22" s="104" t="s">
        <v>407</v>
      </c>
      <c r="C22" s="104" t="s">
        <v>408</v>
      </c>
      <c r="D22" s="21" t="s">
        <v>416</v>
      </c>
      <c r="E22" s="21" t="s">
        <v>429</v>
      </c>
    </row>
    <row r="23" spans="1:5" x14ac:dyDescent="0.25">
      <c r="A23" s="21">
        <v>2502</v>
      </c>
      <c r="B23" s="104" t="s">
        <v>409</v>
      </c>
      <c r="C23" s="104" t="s">
        <v>410</v>
      </c>
      <c r="D23" s="21" t="s">
        <v>417</v>
      </c>
      <c r="E23" s="21" t="s">
        <v>429</v>
      </c>
    </row>
    <row r="24" spans="1:5" x14ac:dyDescent="0.25">
      <c r="A24" s="21">
        <v>7114</v>
      </c>
      <c r="B24" s="104" t="s">
        <v>411</v>
      </c>
      <c r="C24" s="104" t="s">
        <v>411</v>
      </c>
      <c r="D24" s="21" t="s">
        <v>428</v>
      </c>
      <c r="E24" s="21" t="s">
        <v>429</v>
      </c>
    </row>
    <row r="25" spans="1:5" x14ac:dyDescent="0.25">
      <c r="A25" s="21" t="s">
        <v>412</v>
      </c>
      <c r="B25" s="104" t="s">
        <v>426</v>
      </c>
      <c r="C25" s="104"/>
      <c r="D25" s="21" t="s">
        <v>427</v>
      </c>
      <c r="E25" s="21" t="s">
        <v>430</v>
      </c>
    </row>
    <row r="26" spans="1:5" x14ac:dyDescent="0.25">
      <c r="A26" s="21" t="s">
        <v>412</v>
      </c>
      <c r="B26" s="104" t="s">
        <v>111</v>
      </c>
      <c r="C26" s="104"/>
      <c r="D26" s="21" t="s">
        <v>62</v>
      </c>
      <c r="E26" s="21" t="s">
        <v>430</v>
      </c>
    </row>
    <row r="27" spans="1:5" x14ac:dyDescent="0.25">
      <c r="A27" s="21" t="s">
        <v>412</v>
      </c>
      <c r="B27" s="104" t="s">
        <v>413</v>
      </c>
      <c r="C27" s="104"/>
      <c r="D27" s="21" t="s">
        <v>62</v>
      </c>
      <c r="E27" s="21" t="s">
        <v>430</v>
      </c>
    </row>
    <row r="28" spans="1:5" x14ac:dyDescent="0.25">
      <c r="A28" s="106" t="s">
        <v>421</v>
      </c>
      <c r="B28" s="107" t="s">
        <v>370</v>
      </c>
      <c r="C28" s="107"/>
      <c r="D28" s="108" t="s">
        <v>369</v>
      </c>
      <c r="E28" s="106" t="s">
        <v>431</v>
      </c>
    </row>
    <row r="29" spans="1:5" x14ac:dyDescent="0.25">
      <c r="A29" s="21" t="s">
        <v>412</v>
      </c>
      <c r="B29" s="104" t="s">
        <v>422</v>
      </c>
      <c r="C29" s="104"/>
      <c r="D29" s="21" t="s">
        <v>424</v>
      </c>
      <c r="E29" s="21" t="s">
        <v>430</v>
      </c>
    </row>
    <row r="30" spans="1:5" x14ac:dyDescent="0.25">
      <c r="A30" s="21" t="s">
        <v>412</v>
      </c>
      <c r="B30" s="104" t="s">
        <v>423</v>
      </c>
      <c r="C30" s="104"/>
      <c r="D30" s="21" t="s">
        <v>425</v>
      </c>
      <c r="E30" s="21" t="s">
        <v>430</v>
      </c>
    </row>
    <row r="31" spans="1:5" x14ac:dyDescent="0.25">
      <c r="A31" s="21" t="s">
        <v>412</v>
      </c>
      <c r="B31" s="104" t="s">
        <v>365</v>
      </c>
      <c r="C31" s="104"/>
      <c r="D31" s="21" t="s">
        <v>85</v>
      </c>
      <c r="E31" s="21" t="s">
        <v>430</v>
      </c>
    </row>
    <row r="32" spans="1:5" x14ac:dyDescent="0.25">
      <c r="A32" s="21" t="s">
        <v>412</v>
      </c>
      <c r="B32" s="104"/>
      <c r="C32" s="104"/>
      <c r="D32" s="21" t="s">
        <v>84</v>
      </c>
      <c r="E32" s="21" t="s">
        <v>432</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30" sqref="B30"/>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86</v>
      </c>
      <c r="B1" s="1" t="s">
        <v>87</v>
      </c>
      <c r="C1" s="1" t="s">
        <v>88</v>
      </c>
      <c r="D1" s="1" t="s">
        <v>89</v>
      </c>
      <c r="E1" s="1" t="s">
        <v>90</v>
      </c>
      <c r="F1" s="1" t="s">
        <v>91</v>
      </c>
      <c r="G1" s="1" t="s">
        <v>92</v>
      </c>
      <c r="H1" s="1" t="s">
        <v>93</v>
      </c>
    </row>
    <row r="2" spans="1:8" x14ac:dyDescent="0.25">
      <c r="A2" s="101" t="s">
        <v>94</v>
      </c>
      <c r="B2" s="101" t="s">
        <v>95</v>
      </c>
      <c r="C2" s="94" t="s">
        <v>96</v>
      </c>
      <c r="D2" s="94"/>
      <c r="E2" s="94"/>
      <c r="F2" s="94"/>
      <c r="G2" s="94"/>
      <c r="H2" s="94"/>
    </row>
    <row r="3" spans="1:8" x14ac:dyDescent="0.25">
      <c r="A3" s="101" t="s">
        <v>94</v>
      </c>
      <c r="B3" s="101" t="s">
        <v>97</v>
      </c>
      <c r="C3" s="94"/>
      <c r="D3" s="94"/>
      <c r="E3" s="94"/>
      <c r="F3" s="94" t="s">
        <v>96</v>
      </c>
      <c r="G3" s="94"/>
      <c r="H3" s="94"/>
    </row>
    <row r="4" spans="1:8" x14ac:dyDescent="0.25">
      <c r="A4" s="101" t="s">
        <v>94</v>
      </c>
      <c r="B4" s="101" t="s">
        <v>98</v>
      </c>
      <c r="C4" s="94"/>
      <c r="D4" s="94"/>
      <c r="E4" s="94"/>
      <c r="F4" s="94" t="s">
        <v>96</v>
      </c>
      <c r="G4" s="94"/>
      <c r="H4" s="94"/>
    </row>
    <row r="5" spans="1:8" x14ac:dyDescent="0.25">
      <c r="A5" s="101" t="s">
        <v>94</v>
      </c>
      <c r="B5" s="101" t="s">
        <v>99</v>
      </c>
      <c r="C5" s="94"/>
      <c r="D5" s="94"/>
      <c r="E5" s="94"/>
      <c r="F5" s="94" t="s">
        <v>96</v>
      </c>
      <c r="G5" s="94"/>
      <c r="H5" s="94"/>
    </row>
    <row r="6" spans="1:8" x14ac:dyDescent="0.25">
      <c r="A6" s="101" t="s">
        <v>94</v>
      </c>
      <c r="B6" s="101" t="s">
        <v>100</v>
      </c>
      <c r="C6" s="94" t="s">
        <v>96</v>
      </c>
      <c r="D6" s="94"/>
      <c r="E6" s="94"/>
      <c r="F6" s="101"/>
      <c r="G6" s="94"/>
      <c r="H6" s="94"/>
    </row>
    <row r="7" spans="1:8" x14ac:dyDescent="0.25">
      <c r="A7" s="101" t="s">
        <v>94</v>
      </c>
      <c r="B7" s="101" t="s">
        <v>101</v>
      </c>
      <c r="C7" s="94"/>
      <c r="D7" s="94"/>
      <c r="E7" s="94"/>
      <c r="F7" s="94" t="s">
        <v>96</v>
      </c>
      <c r="G7" s="94"/>
      <c r="H7" s="94"/>
    </row>
    <row r="8" spans="1:8" x14ac:dyDescent="0.25">
      <c r="A8" s="101" t="s">
        <v>94</v>
      </c>
      <c r="B8" s="101" t="s">
        <v>102</v>
      </c>
      <c r="C8" s="94"/>
      <c r="D8" s="94"/>
      <c r="E8" s="94"/>
      <c r="F8" s="94" t="s">
        <v>96</v>
      </c>
      <c r="G8" s="94"/>
      <c r="H8" s="94"/>
    </row>
    <row r="9" spans="1:8" x14ac:dyDescent="0.25">
      <c r="A9" s="101" t="s">
        <v>94</v>
      </c>
      <c r="B9" s="101" t="s">
        <v>103</v>
      </c>
      <c r="C9" s="94"/>
      <c r="D9" s="94"/>
      <c r="E9" s="94"/>
      <c r="F9" s="103" t="s">
        <v>96</v>
      </c>
      <c r="G9" s="94"/>
      <c r="H9" s="94"/>
    </row>
    <row r="10" spans="1:8" x14ac:dyDescent="0.25">
      <c r="A10" s="101" t="s">
        <v>94</v>
      </c>
      <c r="B10" s="101" t="s">
        <v>104</v>
      </c>
      <c r="C10" s="94"/>
      <c r="D10" s="94"/>
      <c r="E10" s="101"/>
      <c r="F10" s="103" t="s">
        <v>96</v>
      </c>
      <c r="G10" s="94"/>
      <c r="H10" s="94"/>
    </row>
    <row r="11" spans="1:8" x14ac:dyDescent="0.25">
      <c r="A11" s="101" t="s">
        <v>105</v>
      </c>
      <c r="B11" s="101" t="s">
        <v>106</v>
      </c>
      <c r="C11" s="94"/>
      <c r="D11" s="94"/>
      <c r="E11" s="94"/>
      <c r="F11" s="94" t="s">
        <v>96</v>
      </c>
      <c r="G11" s="94"/>
      <c r="H11" s="94"/>
    </row>
    <row r="12" spans="1:8" x14ac:dyDescent="0.25">
      <c r="A12" s="101" t="s">
        <v>105</v>
      </c>
      <c r="B12" s="101" t="s">
        <v>107</v>
      </c>
      <c r="C12" s="94"/>
      <c r="D12" s="94"/>
      <c r="E12" s="94" t="s">
        <v>96</v>
      </c>
      <c r="F12" s="94"/>
      <c r="G12" s="94"/>
      <c r="H12" s="94"/>
    </row>
    <row r="13" spans="1:8" x14ac:dyDescent="0.25">
      <c r="A13" s="101" t="s">
        <v>105</v>
      </c>
      <c r="B13" s="101" t="s">
        <v>108</v>
      </c>
      <c r="C13" s="94"/>
      <c r="D13" s="94"/>
      <c r="E13" s="94" t="s">
        <v>96</v>
      </c>
      <c r="F13" s="94"/>
      <c r="G13" s="94"/>
      <c r="H13" s="94"/>
    </row>
    <row r="14" spans="1:8" x14ac:dyDescent="0.25">
      <c r="A14" s="101" t="s">
        <v>105</v>
      </c>
      <c r="B14" s="101" t="s">
        <v>109</v>
      </c>
      <c r="C14" s="94"/>
      <c r="D14" s="94"/>
      <c r="E14" s="94" t="s">
        <v>96</v>
      </c>
      <c r="F14" s="94"/>
      <c r="G14" s="94"/>
      <c r="H14" s="94"/>
    </row>
    <row r="15" spans="1:8" x14ac:dyDescent="0.25">
      <c r="A15" s="101" t="s">
        <v>105</v>
      </c>
      <c r="B15" s="101" t="s">
        <v>110</v>
      </c>
      <c r="C15" s="94"/>
      <c r="D15" s="94"/>
      <c r="E15" s="94"/>
      <c r="F15" s="94" t="s">
        <v>96</v>
      </c>
      <c r="G15" s="94"/>
      <c r="H15" s="94"/>
    </row>
    <row r="16" spans="1:8" x14ac:dyDescent="0.25">
      <c r="A16" s="101" t="s">
        <v>105</v>
      </c>
      <c r="B16" s="101" t="s">
        <v>111</v>
      </c>
      <c r="C16" s="94"/>
      <c r="D16" s="94"/>
      <c r="E16" s="94" t="s">
        <v>96</v>
      </c>
      <c r="F16" s="94"/>
      <c r="G16" s="94"/>
      <c r="H16" s="94"/>
    </row>
    <row r="17" spans="1:8" x14ac:dyDescent="0.25">
      <c r="A17" s="101" t="s">
        <v>105</v>
      </c>
      <c r="B17" s="101" t="s">
        <v>112</v>
      </c>
      <c r="C17" s="94"/>
      <c r="D17" s="94"/>
      <c r="E17" s="94"/>
      <c r="F17" s="94" t="s">
        <v>96</v>
      </c>
      <c r="G17" s="94"/>
      <c r="H17" s="94"/>
    </row>
    <row r="18" spans="1:8" x14ac:dyDescent="0.25">
      <c r="A18" s="101" t="s">
        <v>105</v>
      </c>
      <c r="B18" s="101" t="s">
        <v>113</v>
      </c>
      <c r="C18" s="101"/>
      <c r="D18" s="94"/>
      <c r="E18" s="94"/>
      <c r="F18" s="94" t="s">
        <v>96</v>
      </c>
      <c r="G18" s="94"/>
      <c r="H18" s="94"/>
    </row>
    <row r="19" spans="1:8" x14ac:dyDescent="0.25">
      <c r="A19" s="101" t="s">
        <v>105</v>
      </c>
      <c r="B19" s="101" t="s">
        <v>114</v>
      </c>
      <c r="C19" s="101"/>
      <c r="D19" s="94"/>
      <c r="E19" s="94"/>
      <c r="F19" s="94" t="s">
        <v>96</v>
      </c>
      <c r="G19" s="94"/>
      <c r="H19" s="94"/>
    </row>
    <row r="20" spans="1:8" x14ac:dyDescent="0.25">
      <c r="A20" s="101" t="s">
        <v>105</v>
      </c>
      <c r="B20" s="101" t="s">
        <v>347</v>
      </c>
      <c r="C20" s="101"/>
      <c r="D20" s="94"/>
      <c r="E20" s="94"/>
      <c r="F20" s="94" t="s">
        <v>96</v>
      </c>
      <c r="G20" s="94"/>
      <c r="H20" s="94"/>
    </row>
    <row r="21" spans="1:8" x14ac:dyDescent="0.25">
      <c r="A21" s="101" t="s">
        <v>105</v>
      </c>
      <c r="B21" s="101" t="s">
        <v>348</v>
      </c>
      <c r="C21" s="101"/>
      <c r="D21" s="94"/>
      <c r="E21" s="94"/>
      <c r="F21" s="94" t="s">
        <v>96</v>
      </c>
      <c r="G21" s="94"/>
      <c r="H21" s="94"/>
    </row>
    <row r="22" spans="1:8" x14ac:dyDescent="0.25">
      <c r="A22" s="101" t="s">
        <v>115</v>
      </c>
      <c r="B22" s="101" t="s">
        <v>116</v>
      </c>
      <c r="C22" s="94" t="s">
        <v>96</v>
      </c>
      <c r="D22" s="94"/>
      <c r="E22" s="94"/>
      <c r="F22" s="94"/>
      <c r="G22" s="94"/>
      <c r="H22" s="94"/>
    </row>
    <row r="23" spans="1:8" x14ac:dyDescent="0.25">
      <c r="A23" s="101" t="s">
        <v>115</v>
      </c>
      <c r="B23" s="101" t="s">
        <v>117</v>
      </c>
      <c r="C23" s="94"/>
      <c r="D23" s="94"/>
      <c r="E23" s="94"/>
      <c r="F23" s="94" t="s">
        <v>96</v>
      </c>
      <c r="G23" s="94"/>
      <c r="H23" s="94"/>
    </row>
    <row r="24" spans="1:8" x14ac:dyDescent="0.25">
      <c r="A24" s="101" t="s">
        <v>115</v>
      </c>
      <c r="B24" s="101" t="s">
        <v>83</v>
      </c>
      <c r="C24" s="94"/>
      <c r="D24" s="101"/>
      <c r="E24" s="94"/>
      <c r="F24" s="94" t="s">
        <v>96</v>
      </c>
      <c r="G24" s="94"/>
      <c r="H24" s="94"/>
    </row>
    <row r="25" spans="1:8" x14ac:dyDescent="0.25">
      <c r="A25" s="101" t="s">
        <v>118</v>
      </c>
      <c r="B25" s="101" t="s">
        <v>119</v>
      </c>
      <c r="C25" s="94"/>
      <c r="D25" s="94"/>
      <c r="E25" s="94"/>
      <c r="F25" s="94" t="s">
        <v>96</v>
      </c>
      <c r="G25" s="94"/>
      <c r="H25" s="94"/>
    </row>
    <row r="26" spans="1:8" x14ac:dyDescent="0.25">
      <c r="A26" s="101" t="s">
        <v>120</v>
      </c>
      <c r="B26" s="101" t="s">
        <v>121</v>
      </c>
      <c r="C26" s="94"/>
      <c r="D26" s="94"/>
      <c r="E26" s="94"/>
      <c r="F26" s="94" t="s">
        <v>96</v>
      </c>
      <c r="G26" s="94"/>
      <c r="H26" s="94"/>
    </row>
    <row r="27" spans="1:8" x14ac:dyDescent="0.25">
      <c r="A27" s="101" t="s">
        <v>120</v>
      </c>
      <c r="B27" s="101" t="s">
        <v>122</v>
      </c>
      <c r="C27" s="94"/>
      <c r="D27" s="94"/>
      <c r="E27" s="94"/>
      <c r="F27" s="92" t="s">
        <v>96</v>
      </c>
      <c r="G27" s="94"/>
      <c r="H27" s="94"/>
    </row>
    <row r="28" spans="1:8" x14ac:dyDescent="0.25">
      <c r="A28" s="101" t="s">
        <v>120</v>
      </c>
      <c r="B28" s="101" t="s">
        <v>361</v>
      </c>
      <c r="D28" s="94"/>
      <c r="E28" s="92" t="s">
        <v>96</v>
      </c>
      <c r="F28" s="101"/>
      <c r="G28" s="94"/>
      <c r="H28" s="94"/>
    </row>
    <row r="29" spans="1:8" x14ac:dyDescent="0.25">
      <c r="A29" s="101" t="s">
        <v>120</v>
      </c>
      <c r="B29" s="101" t="s">
        <v>364</v>
      </c>
      <c r="C29" s="94" t="s">
        <v>96</v>
      </c>
      <c r="D29" s="94"/>
      <c r="E29" s="94"/>
      <c r="F29" s="94"/>
      <c r="G29" s="94"/>
      <c r="H29" s="94"/>
    </row>
    <row r="30" spans="1:8" x14ac:dyDescent="0.25">
      <c r="A30" s="101" t="s">
        <v>120</v>
      </c>
      <c r="B30" s="101" t="s">
        <v>123</v>
      </c>
      <c r="C30" s="101"/>
      <c r="D30" s="101"/>
      <c r="E30" s="101" t="s">
        <v>96</v>
      </c>
      <c r="F30" s="101"/>
      <c r="G30" s="101"/>
      <c r="H30" s="101"/>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M9" sqref="M9"/>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37" t="s">
        <v>124</v>
      </c>
      <c r="B1" s="38" t="s">
        <v>125</v>
      </c>
      <c r="C1" s="38" t="s">
        <v>126</v>
      </c>
      <c r="D1" s="38" t="s">
        <v>127</v>
      </c>
      <c r="E1" s="38" t="s">
        <v>128</v>
      </c>
      <c r="F1" s="38" t="s">
        <v>129</v>
      </c>
      <c r="G1" s="38" t="s">
        <v>130</v>
      </c>
      <c r="H1" s="38" t="s">
        <v>131</v>
      </c>
      <c r="I1" s="38" t="s">
        <v>132</v>
      </c>
      <c r="J1" s="38" t="s">
        <v>119</v>
      </c>
      <c r="K1" s="38" t="s">
        <v>321</v>
      </c>
      <c r="L1" s="38" t="s">
        <v>133</v>
      </c>
      <c r="M1" s="39" t="s">
        <v>134</v>
      </c>
    </row>
    <row r="2" spans="1:13" ht="23.25" customHeight="1" x14ac:dyDescent="0.25">
      <c r="A2" s="40" t="s">
        <v>135</v>
      </c>
      <c r="B2" s="41" t="s">
        <v>322</v>
      </c>
      <c r="C2" s="41" t="s">
        <v>322</v>
      </c>
      <c r="D2" s="41" t="s">
        <v>322</v>
      </c>
      <c r="E2" s="41" t="s">
        <v>322</v>
      </c>
      <c r="F2" s="41" t="s">
        <v>322</v>
      </c>
      <c r="G2" s="42" t="s">
        <v>323</v>
      </c>
      <c r="H2" s="18"/>
      <c r="J2" s="18"/>
      <c r="K2" s="42" t="s">
        <v>323</v>
      </c>
      <c r="M2" s="43"/>
    </row>
    <row r="3" spans="1:13" x14ac:dyDescent="0.25">
      <c r="A3" s="40" t="s">
        <v>136</v>
      </c>
      <c r="B3" s="41" t="s">
        <v>322</v>
      </c>
      <c r="C3" s="41" t="s">
        <v>322</v>
      </c>
      <c r="D3" s="41" t="s">
        <v>322</v>
      </c>
      <c r="E3" s="41" t="s">
        <v>322</v>
      </c>
      <c r="F3" s="41" t="s">
        <v>322</v>
      </c>
      <c r="G3" s="42" t="s">
        <v>323</v>
      </c>
      <c r="H3" s="18"/>
      <c r="J3" s="42" t="s">
        <v>323</v>
      </c>
      <c r="K3" s="42" t="s">
        <v>323</v>
      </c>
      <c r="M3" s="43"/>
    </row>
    <row r="4" spans="1:13" x14ac:dyDescent="0.25">
      <c r="A4" s="40" t="s">
        <v>137</v>
      </c>
      <c r="B4" s="41" t="s">
        <v>322</v>
      </c>
      <c r="C4" s="41" t="s">
        <v>322</v>
      </c>
      <c r="D4" s="19"/>
      <c r="E4" s="18"/>
      <c r="F4" s="18"/>
      <c r="G4" s="18"/>
      <c r="H4" s="18"/>
      <c r="J4" s="18"/>
      <c r="K4" s="18"/>
      <c r="L4" s="42" t="s">
        <v>323</v>
      </c>
      <c r="M4" s="43"/>
    </row>
    <row r="5" spans="1:13" x14ac:dyDescent="0.25">
      <c r="A5" s="40" t="s">
        <v>138</v>
      </c>
      <c r="B5" s="41" t="s">
        <v>322</v>
      </c>
      <c r="C5" s="41" t="s">
        <v>322</v>
      </c>
      <c r="D5" s="19"/>
      <c r="E5" s="18"/>
      <c r="F5" s="18"/>
      <c r="G5" s="18"/>
      <c r="H5" s="18"/>
      <c r="J5" s="18"/>
      <c r="K5" s="18"/>
      <c r="L5" s="42" t="s">
        <v>323</v>
      </c>
      <c r="M5" s="43"/>
    </row>
    <row r="6" spans="1:13" ht="34.5" customHeight="1" x14ac:dyDescent="0.25">
      <c r="A6" s="40" t="s">
        <v>139</v>
      </c>
      <c r="B6" s="41" t="s">
        <v>322</v>
      </c>
      <c r="C6" s="41" t="s">
        <v>322</v>
      </c>
      <c r="D6" s="41" t="s">
        <v>322</v>
      </c>
      <c r="E6" s="41" t="s">
        <v>322</v>
      </c>
      <c r="F6" s="41" t="s">
        <v>322</v>
      </c>
      <c r="G6" s="42" t="s">
        <v>323</v>
      </c>
      <c r="H6" s="42" t="s">
        <v>323</v>
      </c>
      <c r="J6" s="18"/>
      <c r="K6" s="42" t="s">
        <v>323</v>
      </c>
      <c r="M6" s="43"/>
    </row>
    <row r="7" spans="1:13" x14ac:dyDescent="0.25">
      <c r="A7" s="40" t="s">
        <v>140</v>
      </c>
      <c r="B7" s="41" t="s">
        <v>322</v>
      </c>
      <c r="C7" s="41" t="s">
        <v>322</v>
      </c>
      <c r="D7" s="19"/>
      <c r="E7" s="18"/>
      <c r="F7" s="18"/>
      <c r="G7" s="18"/>
      <c r="H7" s="18"/>
      <c r="I7" s="42" t="s">
        <v>323</v>
      </c>
      <c r="J7" s="18"/>
      <c r="M7" s="43"/>
    </row>
    <row r="8" spans="1:13" ht="34.5" customHeight="1" x14ac:dyDescent="0.25">
      <c r="A8" s="40" t="s">
        <v>141</v>
      </c>
      <c r="B8" s="41" t="s">
        <v>322</v>
      </c>
      <c r="C8" s="41" t="s">
        <v>322</v>
      </c>
      <c r="D8" s="19"/>
      <c r="E8" s="18"/>
      <c r="F8" s="18"/>
      <c r="G8" s="18"/>
      <c r="H8" s="18"/>
      <c r="I8" s="44"/>
      <c r="J8" s="18"/>
      <c r="L8" s="42" t="s">
        <v>323</v>
      </c>
      <c r="M8" s="43"/>
    </row>
    <row r="9" spans="1:13" ht="34.5" customHeight="1" x14ac:dyDescent="0.25">
      <c r="A9" s="40" t="s">
        <v>142</v>
      </c>
      <c r="B9" s="41" t="s">
        <v>322</v>
      </c>
      <c r="C9" s="41" t="s">
        <v>322</v>
      </c>
      <c r="D9" s="41" t="s">
        <v>322</v>
      </c>
      <c r="E9" s="18"/>
      <c r="F9" s="18"/>
      <c r="G9" s="42" t="s">
        <v>323</v>
      </c>
      <c r="H9" s="42" t="s">
        <v>323</v>
      </c>
      <c r="I9" s="18"/>
      <c r="J9" s="18"/>
      <c r="M9" s="42" t="s">
        <v>323</v>
      </c>
    </row>
    <row r="10" spans="1:13" x14ac:dyDescent="0.25">
      <c r="A10" s="45" t="s">
        <v>143</v>
      </c>
      <c r="B10" s="41" t="s">
        <v>322</v>
      </c>
      <c r="C10" s="41" t="s">
        <v>322</v>
      </c>
      <c r="D10" s="19"/>
      <c r="E10" s="18"/>
      <c r="F10" s="18"/>
      <c r="G10" s="18"/>
      <c r="H10" s="18"/>
      <c r="I10" s="18"/>
      <c r="J10" s="18"/>
      <c r="L10" s="42" t="s">
        <v>323</v>
      </c>
      <c r="M10" s="43"/>
    </row>
    <row r="11" spans="1:13" x14ac:dyDescent="0.25">
      <c r="A11" s="45" t="s">
        <v>144</v>
      </c>
      <c r="B11" s="41" t="s">
        <v>322</v>
      </c>
      <c r="C11" s="41" t="s">
        <v>322</v>
      </c>
      <c r="D11" s="19"/>
      <c r="E11" s="18"/>
      <c r="F11" s="18"/>
      <c r="G11" s="18"/>
      <c r="H11" s="18"/>
      <c r="I11" s="18"/>
      <c r="J11" s="18"/>
      <c r="M11" s="42" t="s">
        <v>323</v>
      </c>
    </row>
    <row r="12" spans="1:13" x14ac:dyDescent="0.25">
      <c r="A12" s="46" t="s">
        <v>145</v>
      </c>
      <c r="B12" s="41" t="s">
        <v>322</v>
      </c>
      <c r="C12" s="47"/>
      <c r="D12" s="47"/>
      <c r="E12" s="47"/>
      <c r="F12" s="47"/>
      <c r="G12" s="47"/>
      <c r="H12" s="47"/>
      <c r="I12" s="47"/>
      <c r="J12" s="47"/>
      <c r="K12" s="48"/>
      <c r="L12" s="48"/>
      <c r="M12" s="49"/>
    </row>
    <row r="13" spans="1:13" x14ac:dyDescent="0.25">
      <c r="A13" s="41" t="s">
        <v>326</v>
      </c>
      <c r="B13" s="77" t="s">
        <v>324</v>
      </c>
      <c r="C13" s="77"/>
      <c r="D13" s="77"/>
      <c r="E13" s="77"/>
      <c r="F13" s="77"/>
      <c r="G13" s="77"/>
      <c r="H13" s="77"/>
      <c r="I13" s="77"/>
      <c r="J13" s="77"/>
      <c r="K13" s="77"/>
      <c r="L13" s="77"/>
      <c r="M13" s="77"/>
    </row>
    <row r="14" spans="1:13" x14ac:dyDescent="0.25">
      <c r="A14" s="42" t="s">
        <v>327</v>
      </c>
      <c r="B14" s="77" t="s">
        <v>325</v>
      </c>
      <c r="C14" s="77"/>
      <c r="D14" s="77"/>
      <c r="E14" s="77"/>
      <c r="F14" s="77"/>
      <c r="G14" s="77"/>
      <c r="H14" s="77"/>
      <c r="I14" s="77"/>
      <c r="J14" s="77"/>
      <c r="K14" s="77"/>
      <c r="L14" s="77"/>
      <c r="M14" s="77"/>
    </row>
    <row r="15" spans="1:13" x14ac:dyDescent="0.25">
      <c r="A15" s="20"/>
      <c r="B15" s="19"/>
      <c r="C15" s="19"/>
      <c r="D15" s="21"/>
      <c r="E15" s="21"/>
      <c r="F15" s="21"/>
      <c r="G15" s="21"/>
      <c r="H15" s="21"/>
    </row>
    <row r="16" spans="1:13" x14ac:dyDescent="0.25">
      <c r="A16" s="20"/>
      <c r="B16" s="19"/>
      <c r="C16" s="19"/>
      <c r="D16" s="21"/>
      <c r="E16" s="21"/>
      <c r="F16" s="21"/>
      <c r="G16" s="21"/>
      <c r="H16" s="21"/>
    </row>
    <row r="17" spans="1:8" x14ac:dyDescent="0.25">
      <c r="A17" s="20"/>
      <c r="B17" s="19"/>
      <c r="C17" s="19"/>
      <c r="D17" s="21"/>
      <c r="E17" s="21"/>
      <c r="F17" s="21"/>
      <c r="G17" s="21"/>
      <c r="H17" s="21"/>
    </row>
    <row r="18" spans="1:8" x14ac:dyDescent="0.25">
      <c r="A18" s="20"/>
      <c r="B18" s="19"/>
      <c r="C18" s="19"/>
      <c r="D18" s="21"/>
      <c r="E18" s="21"/>
      <c r="F18" s="21"/>
      <c r="G18" s="21"/>
      <c r="H18" s="21"/>
    </row>
    <row r="19" spans="1:8" x14ac:dyDescent="0.25">
      <c r="A19" s="20"/>
      <c r="B19" s="19"/>
      <c r="C19" s="19"/>
      <c r="D19" s="21"/>
      <c r="E19" s="21"/>
      <c r="F19" s="21"/>
      <c r="G19" s="21"/>
      <c r="H19" s="21"/>
    </row>
    <row r="20" spans="1:8" x14ac:dyDescent="0.25">
      <c r="A20" s="20"/>
      <c r="B20" s="19"/>
      <c r="C20" s="19"/>
      <c r="D20" s="21"/>
      <c r="E20" s="21"/>
      <c r="F20" s="21"/>
      <c r="G20" s="21"/>
      <c r="H20" s="21"/>
    </row>
    <row r="21" spans="1:8" x14ac:dyDescent="0.25">
      <c r="A21" s="20"/>
      <c r="B21" s="19"/>
      <c r="C21" s="19"/>
      <c r="D21" s="21"/>
      <c r="E21" s="21"/>
      <c r="F21" s="21"/>
      <c r="G21" s="21"/>
      <c r="H21" s="21"/>
    </row>
    <row r="22" spans="1:8" x14ac:dyDescent="0.25">
      <c r="A22" s="20"/>
      <c r="B22" s="19"/>
      <c r="C22" s="19"/>
      <c r="D22" s="21"/>
      <c r="E22" s="21"/>
      <c r="F22" s="21"/>
      <c r="G22" s="21"/>
      <c r="H22" s="21"/>
    </row>
    <row r="23" spans="1:8" x14ac:dyDescent="0.25">
      <c r="A23" s="20"/>
      <c r="B23" s="19"/>
      <c r="C23" s="19"/>
    </row>
    <row r="24" spans="1:8" x14ac:dyDescent="0.2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7"/>
  <sheetViews>
    <sheetView zoomScale="140" zoomScaleNormal="140" workbookViewId="0">
      <selection activeCell="B14" sqref="B14"/>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1" s="72" customFormat="1" ht="72" x14ac:dyDescent="0.25">
      <c r="A1" s="73" t="s">
        <v>146</v>
      </c>
      <c r="B1" s="74" t="s">
        <v>147</v>
      </c>
      <c r="C1" s="74" t="s">
        <v>148</v>
      </c>
      <c r="D1" s="74" t="s">
        <v>149</v>
      </c>
      <c r="E1" s="74" t="s">
        <v>150</v>
      </c>
      <c r="F1" s="74" t="s">
        <v>151</v>
      </c>
      <c r="G1" s="74" t="s">
        <v>152</v>
      </c>
      <c r="H1" s="74" t="s">
        <v>153</v>
      </c>
      <c r="I1" s="74" t="s">
        <v>154</v>
      </c>
      <c r="J1" s="74" t="s">
        <v>155</v>
      </c>
      <c r="K1" s="74" t="s">
        <v>156</v>
      </c>
    </row>
    <row r="2" spans="1:11" s="72" customFormat="1" ht="60" x14ac:dyDescent="0.25">
      <c r="A2" s="71" t="s">
        <v>157</v>
      </c>
      <c r="B2" s="89" t="s">
        <v>367</v>
      </c>
      <c r="C2" s="89" t="s">
        <v>158</v>
      </c>
      <c r="D2" s="89" t="s">
        <v>159</v>
      </c>
      <c r="E2" s="89" t="s">
        <v>160</v>
      </c>
      <c r="F2" s="89" t="s">
        <v>49</v>
      </c>
      <c r="G2" s="89" t="s">
        <v>171</v>
      </c>
      <c r="H2" s="89" t="s">
        <v>366</v>
      </c>
      <c r="I2" s="89" t="s">
        <v>360</v>
      </c>
      <c r="J2" s="89"/>
      <c r="K2" s="89"/>
    </row>
    <row r="3" spans="1:11" s="72" customFormat="1" ht="60" x14ac:dyDescent="0.25">
      <c r="A3" s="89" t="s">
        <v>161</v>
      </c>
      <c r="B3" s="89" t="s">
        <v>162</v>
      </c>
      <c r="C3" s="89" t="s">
        <v>341</v>
      </c>
      <c r="D3" s="89" t="s">
        <v>340</v>
      </c>
      <c r="E3" s="89"/>
      <c r="F3" s="89" t="s">
        <v>49</v>
      </c>
      <c r="G3" s="89" t="s">
        <v>171</v>
      </c>
      <c r="H3" s="89" t="s">
        <v>82</v>
      </c>
      <c r="I3" s="89" t="s">
        <v>360</v>
      </c>
      <c r="J3" s="89"/>
      <c r="K3" s="89"/>
    </row>
    <row r="4" spans="1:11" s="72" customFormat="1" ht="60" x14ac:dyDescent="0.25">
      <c r="A4" s="89" t="s">
        <v>161</v>
      </c>
      <c r="B4" s="89" t="s">
        <v>164</v>
      </c>
      <c r="C4" s="89" t="s">
        <v>165</v>
      </c>
      <c r="D4" s="89" t="s">
        <v>163</v>
      </c>
      <c r="E4" s="89"/>
      <c r="F4" s="89" t="s">
        <v>49</v>
      </c>
      <c r="G4" s="89" t="s">
        <v>171</v>
      </c>
      <c r="H4" s="89" t="s">
        <v>82</v>
      </c>
      <c r="I4" s="89" t="s">
        <v>360</v>
      </c>
      <c r="J4" s="89"/>
      <c r="K4" s="89"/>
    </row>
    <row r="5" spans="1:11" s="72" customFormat="1" ht="60" x14ac:dyDescent="0.25">
      <c r="A5" s="89" t="s">
        <v>161</v>
      </c>
      <c r="B5" s="89" t="s">
        <v>166</v>
      </c>
      <c r="C5" s="89" t="s">
        <v>165</v>
      </c>
      <c r="D5" s="89" t="s">
        <v>167</v>
      </c>
      <c r="E5" s="89"/>
      <c r="F5" s="89" t="s">
        <v>49</v>
      </c>
      <c r="G5" s="89" t="s">
        <v>171</v>
      </c>
      <c r="H5" s="89" t="s">
        <v>82</v>
      </c>
      <c r="I5" s="89" t="s">
        <v>360</v>
      </c>
      <c r="J5" s="89"/>
      <c r="K5" s="89"/>
    </row>
    <row r="6" spans="1:11" s="72" customFormat="1" ht="60" x14ac:dyDescent="0.25">
      <c r="A6" s="89" t="s">
        <v>161</v>
      </c>
      <c r="B6" s="89" t="s">
        <v>168</v>
      </c>
      <c r="C6" s="89" t="s">
        <v>165</v>
      </c>
      <c r="D6" s="89" t="s">
        <v>169</v>
      </c>
      <c r="E6" s="89"/>
      <c r="F6" s="89" t="s">
        <v>49</v>
      </c>
      <c r="G6" s="89" t="s">
        <v>171</v>
      </c>
      <c r="H6" s="89" t="s">
        <v>82</v>
      </c>
      <c r="I6" s="89" t="s">
        <v>360</v>
      </c>
      <c r="J6" s="89"/>
      <c r="K6" s="89"/>
    </row>
    <row r="7" spans="1:11" s="72" customFormat="1" ht="60" x14ac:dyDescent="0.25">
      <c r="A7" s="89" t="s">
        <v>161</v>
      </c>
      <c r="B7" s="89" t="s">
        <v>170</v>
      </c>
      <c r="C7" s="89" t="s">
        <v>165</v>
      </c>
      <c r="D7" s="89" t="s">
        <v>169</v>
      </c>
      <c r="E7" s="89"/>
      <c r="F7" s="89" t="s">
        <v>49</v>
      </c>
      <c r="G7" s="89" t="s">
        <v>171</v>
      </c>
      <c r="H7" s="89" t="s">
        <v>82</v>
      </c>
      <c r="I7" s="89" t="s">
        <v>360</v>
      </c>
      <c r="J7" s="89"/>
      <c r="K7" s="89"/>
    </row>
    <row r="8" spans="1:11" s="72" customFormat="1" ht="60" x14ac:dyDescent="0.25">
      <c r="A8" s="89" t="s">
        <v>161</v>
      </c>
      <c r="B8" s="89" t="s">
        <v>172</v>
      </c>
      <c r="C8" s="89" t="s">
        <v>165</v>
      </c>
      <c r="D8" s="89" t="s">
        <v>169</v>
      </c>
      <c r="E8" s="89"/>
      <c r="F8" s="89" t="s">
        <v>49</v>
      </c>
      <c r="G8" s="89" t="s">
        <v>171</v>
      </c>
      <c r="H8" s="89" t="s">
        <v>82</v>
      </c>
      <c r="I8" s="89" t="s">
        <v>360</v>
      </c>
      <c r="J8" s="89"/>
      <c r="K8" s="89"/>
    </row>
    <row r="9" spans="1:11" s="72" customFormat="1" ht="60" x14ac:dyDescent="0.25">
      <c r="A9" s="89" t="s">
        <v>161</v>
      </c>
      <c r="B9" s="89" t="s">
        <v>173</v>
      </c>
      <c r="C9" s="89" t="s">
        <v>165</v>
      </c>
      <c r="D9" s="89" t="s">
        <v>169</v>
      </c>
      <c r="E9" s="89"/>
      <c r="F9" s="89" t="s">
        <v>49</v>
      </c>
      <c r="G9" s="89" t="s">
        <v>171</v>
      </c>
      <c r="H9" s="89" t="s">
        <v>82</v>
      </c>
      <c r="I9" s="89" t="s">
        <v>360</v>
      </c>
      <c r="J9" s="89"/>
      <c r="K9" s="89"/>
    </row>
    <row r="10" spans="1:11" s="72" customFormat="1" ht="60" x14ac:dyDescent="0.25">
      <c r="A10" s="89" t="s">
        <v>161</v>
      </c>
      <c r="B10" s="89" t="s">
        <v>174</v>
      </c>
      <c r="C10" s="89" t="s">
        <v>165</v>
      </c>
      <c r="D10" s="89" t="s">
        <v>169</v>
      </c>
      <c r="E10" s="89"/>
      <c r="F10" s="89" t="s">
        <v>49</v>
      </c>
      <c r="G10" s="89" t="s">
        <v>171</v>
      </c>
      <c r="H10" s="89" t="s">
        <v>82</v>
      </c>
      <c r="I10" s="89" t="s">
        <v>360</v>
      </c>
      <c r="J10" s="89"/>
      <c r="K10" s="89"/>
    </row>
    <row r="11" spans="1:11" s="72" customFormat="1" ht="60" x14ac:dyDescent="0.25">
      <c r="A11" s="89" t="s">
        <v>161</v>
      </c>
      <c r="B11" s="89" t="s">
        <v>175</v>
      </c>
      <c r="C11" s="89" t="s">
        <v>343</v>
      </c>
      <c r="D11" s="89" t="s">
        <v>344</v>
      </c>
      <c r="E11" s="89"/>
      <c r="F11" s="89" t="s">
        <v>49</v>
      </c>
      <c r="G11" s="89" t="s">
        <v>171</v>
      </c>
      <c r="H11" s="89" t="s">
        <v>82</v>
      </c>
      <c r="I11" s="89" t="s">
        <v>360</v>
      </c>
      <c r="J11" s="89"/>
      <c r="K11" s="89"/>
    </row>
    <row r="12" spans="1:11" s="72" customFormat="1" ht="60" x14ac:dyDescent="0.25">
      <c r="A12" s="89" t="s">
        <v>161</v>
      </c>
      <c r="B12" s="89" t="s">
        <v>342</v>
      </c>
      <c r="C12" s="89" t="s">
        <v>345</v>
      </c>
      <c r="D12" s="89" t="s">
        <v>346</v>
      </c>
      <c r="E12" s="89"/>
      <c r="F12" s="89" t="s">
        <v>49</v>
      </c>
      <c r="G12" s="89" t="s">
        <v>171</v>
      </c>
      <c r="H12" s="89" t="s">
        <v>82</v>
      </c>
      <c r="I12" s="89" t="s">
        <v>360</v>
      </c>
      <c r="J12" s="89"/>
      <c r="K12" s="89"/>
    </row>
    <row r="13" spans="1:11" s="72" customFormat="1" ht="60" x14ac:dyDescent="0.25">
      <c r="A13" s="89" t="s">
        <v>161</v>
      </c>
      <c r="B13" s="89" t="s">
        <v>434</v>
      </c>
      <c r="C13" s="89" t="s">
        <v>165</v>
      </c>
      <c r="D13" s="89" t="s">
        <v>169</v>
      </c>
      <c r="E13" s="89"/>
      <c r="F13" s="89" t="s">
        <v>49</v>
      </c>
      <c r="G13" s="89" t="s">
        <v>171</v>
      </c>
      <c r="H13" s="89" t="s">
        <v>82</v>
      </c>
      <c r="I13" s="89" t="s">
        <v>360</v>
      </c>
      <c r="J13" s="89"/>
      <c r="K13" s="89"/>
    </row>
    <row r="14" spans="1:11" s="72" customFormat="1" ht="60" x14ac:dyDescent="0.25">
      <c r="A14" s="89" t="s">
        <v>161</v>
      </c>
      <c r="B14" s="89" t="s">
        <v>435</v>
      </c>
      <c r="C14" s="89" t="s">
        <v>436</v>
      </c>
      <c r="D14" s="89" t="s">
        <v>340</v>
      </c>
      <c r="E14" s="89"/>
      <c r="F14" s="89" t="s">
        <v>49</v>
      </c>
      <c r="G14" s="89" t="s">
        <v>171</v>
      </c>
      <c r="H14" s="89" t="s">
        <v>82</v>
      </c>
      <c r="I14" s="89" t="s">
        <v>360</v>
      </c>
      <c r="J14" s="89"/>
      <c r="K14" s="89"/>
    </row>
    <row r="15" spans="1:11" s="72" customFormat="1" ht="72" x14ac:dyDescent="0.25">
      <c r="A15" s="89" t="s">
        <v>161</v>
      </c>
      <c r="B15" s="89" t="s">
        <v>437</v>
      </c>
      <c r="C15" s="89" t="s">
        <v>438</v>
      </c>
      <c r="D15" s="89" t="s">
        <v>344</v>
      </c>
      <c r="E15" s="89"/>
      <c r="F15" s="89" t="s">
        <v>439</v>
      </c>
      <c r="G15" s="89" t="s">
        <v>440</v>
      </c>
      <c r="H15" s="89" t="s">
        <v>76</v>
      </c>
      <c r="I15" s="89" t="s">
        <v>441</v>
      </c>
      <c r="J15" s="89"/>
      <c r="K15" s="89"/>
    </row>
    <row r="16" spans="1:11" s="72" customFormat="1" ht="72" x14ac:dyDescent="0.25">
      <c r="A16" s="89" t="s">
        <v>161</v>
      </c>
      <c r="B16" s="89" t="s">
        <v>443</v>
      </c>
      <c r="C16" s="89" t="s">
        <v>444</v>
      </c>
      <c r="D16" s="89" t="s">
        <v>163</v>
      </c>
      <c r="E16" s="89"/>
      <c r="F16" s="89" t="s">
        <v>445</v>
      </c>
      <c r="G16" s="89"/>
      <c r="H16" s="89" t="s">
        <v>442</v>
      </c>
      <c r="I16" s="89" t="s">
        <v>349</v>
      </c>
      <c r="J16" s="89"/>
      <c r="K16" s="89"/>
    </row>
    <row r="17" spans="8:8" x14ac:dyDescent="0.25">
      <c r="H17"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176</v>
      </c>
      <c r="B1" s="3" t="s">
        <v>177</v>
      </c>
      <c r="C1" s="3" t="s">
        <v>178</v>
      </c>
      <c r="D1" s="3" t="s">
        <v>179</v>
      </c>
    </row>
    <row r="2" spans="1:4" ht="30.75" thickBot="1" x14ac:dyDescent="0.3">
      <c r="A2" s="65" t="s">
        <v>180</v>
      </c>
      <c r="B2" s="3" t="s">
        <v>181</v>
      </c>
      <c r="C2" s="3" t="s">
        <v>182</v>
      </c>
      <c r="D2" s="3" t="s">
        <v>183</v>
      </c>
    </row>
    <row r="3" spans="1:4" ht="45.75" thickBot="1" x14ac:dyDescent="0.3">
      <c r="A3" s="65" t="s">
        <v>184</v>
      </c>
      <c r="B3" s="3" t="s">
        <v>185</v>
      </c>
      <c r="C3" s="3" t="s">
        <v>186</v>
      </c>
      <c r="D3" s="3" t="s">
        <v>186</v>
      </c>
    </row>
    <row r="4" spans="1:4" ht="45.75" thickBot="1" x14ac:dyDescent="0.3">
      <c r="A4" s="65" t="s">
        <v>187</v>
      </c>
      <c r="B4" s="3" t="s">
        <v>188</v>
      </c>
      <c r="C4" s="3" t="s">
        <v>189</v>
      </c>
      <c r="D4" s="3" t="s">
        <v>190</v>
      </c>
    </row>
    <row r="5" spans="1:4" ht="60.75" thickBot="1" x14ac:dyDescent="0.3">
      <c r="A5" s="65" t="s">
        <v>191</v>
      </c>
      <c r="B5" s="3" t="s">
        <v>192</v>
      </c>
      <c r="C5" s="3" t="s">
        <v>193</v>
      </c>
      <c r="D5" s="3" t="s">
        <v>194</v>
      </c>
    </row>
    <row r="6" spans="1:4" ht="75.75" thickBot="1" x14ac:dyDescent="0.3">
      <c r="A6" s="65" t="s">
        <v>195</v>
      </c>
      <c r="B6" s="3" t="s">
        <v>196</v>
      </c>
      <c r="C6" s="3" t="s">
        <v>197</v>
      </c>
      <c r="D6" s="3" t="s">
        <v>198</v>
      </c>
    </row>
    <row r="7" spans="1:4" ht="30.75" thickBot="1" x14ac:dyDescent="0.3">
      <c r="A7" s="65" t="s">
        <v>199</v>
      </c>
      <c r="B7" s="3" t="s">
        <v>200</v>
      </c>
      <c r="C7" s="3" t="s">
        <v>201</v>
      </c>
      <c r="D7" s="3" t="s">
        <v>202</v>
      </c>
    </row>
    <row r="8" spans="1:4" ht="45.75" thickBot="1" x14ac:dyDescent="0.3">
      <c r="A8" s="65" t="s">
        <v>203</v>
      </c>
      <c r="B8" s="3" t="s">
        <v>204</v>
      </c>
      <c r="C8" s="3" t="s">
        <v>205</v>
      </c>
      <c r="D8" s="3" t="s">
        <v>206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5546875" defaultRowHeight="15" x14ac:dyDescent="0.25"/>
  <cols>
    <col min="1" max="1" width="6.85546875" bestFit="1" customWidth="1"/>
    <col min="2" max="2" width="10.28515625" bestFit="1" customWidth="1"/>
    <col min="3" max="3" width="21.140625" bestFit="1" customWidth="1"/>
    <col min="4" max="4" width="9" bestFit="1" customWidth="1"/>
    <col min="5" max="5" width="7.42578125" bestFit="1" customWidth="1"/>
    <col min="6" max="6" width="13.42578125" bestFit="1" customWidth="1"/>
    <col min="7" max="7" width="10.285156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09" t="s">
        <v>255</v>
      </c>
      <c r="B1" s="109"/>
      <c r="C1" s="109"/>
      <c r="D1" s="5"/>
      <c r="E1" s="5"/>
      <c r="F1" s="5"/>
      <c r="G1" s="5"/>
      <c r="H1" s="5"/>
      <c r="I1" s="5"/>
      <c r="J1" s="5"/>
      <c r="K1" s="5"/>
    </row>
    <row r="2" spans="1:11" x14ac:dyDescent="0.25">
      <c r="A2" s="5" t="s">
        <v>256</v>
      </c>
      <c r="B2" s="5" t="s">
        <v>257</v>
      </c>
      <c r="C2" s="5" t="s">
        <v>258</v>
      </c>
      <c r="D2" s="5" t="s">
        <v>259</v>
      </c>
      <c r="E2" s="5" t="s">
        <v>260</v>
      </c>
      <c r="F2" s="5" t="s">
        <v>261</v>
      </c>
      <c r="G2" s="5" t="s">
        <v>262</v>
      </c>
      <c r="H2" s="5" t="s">
        <v>263</v>
      </c>
      <c r="I2" s="5" t="s">
        <v>264</v>
      </c>
      <c r="J2" s="5" t="s">
        <v>265</v>
      </c>
      <c r="K2" s="5" t="s">
        <v>266</v>
      </c>
    </row>
    <row r="3" spans="1:11" x14ac:dyDescent="0.25">
      <c r="A3" s="5" t="s">
        <v>267</v>
      </c>
      <c r="B3" s="5" t="s">
        <v>267</v>
      </c>
      <c r="C3" s="5" t="s">
        <v>267</v>
      </c>
      <c r="D3" s="5" t="s">
        <v>267</v>
      </c>
      <c r="E3" s="5" t="s">
        <v>267</v>
      </c>
      <c r="F3" s="5" t="s">
        <v>267</v>
      </c>
      <c r="G3" s="5" t="s">
        <v>267</v>
      </c>
      <c r="H3" s="5" t="s">
        <v>267</v>
      </c>
      <c r="I3" s="5" t="s">
        <v>267</v>
      </c>
      <c r="J3" s="5" t="s">
        <v>267</v>
      </c>
      <c r="K3" s="5" t="s">
        <v>267</v>
      </c>
    </row>
    <row r="4" spans="1:11" x14ac:dyDescent="0.25">
      <c r="A4" s="5" t="s">
        <v>267</v>
      </c>
      <c r="B4" s="5" t="s">
        <v>267</v>
      </c>
      <c r="C4" s="5" t="s">
        <v>267</v>
      </c>
      <c r="D4" s="5" t="s">
        <v>267</v>
      </c>
      <c r="E4" s="5" t="s">
        <v>267</v>
      </c>
      <c r="F4" s="5" t="s">
        <v>267</v>
      </c>
      <c r="G4" s="5" t="s">
        <v>267</v>
      </c>
      <c r="H4" s="5" t="s">
        <v>267</v>
      </c>
      <c r="I4" s="5" t="s">
        <v>267</v>
      </c>
      <c r="J4" s="5" t="s">
        <v>267</v>
      </c>
      <c r="K4" s="5" t="s">
        <v>267</v>
      </c>
    </row>
    <row r="5" spans="1:11" x14ac:dyDescent="0.25">
      <c r="A5" s="5" t="s">
        <v>267</v>
      </c>
      <c r="B5" s="5" t="s">
        <v>267</v>
      </c>
      <c r="C5" s="5" t="s">
        <v>267</v>
      </c>
      <c r="D5" s="5" t="s">
        <v>267</v>
      </c>
      <c r="E5" s="5" t="s">
        <v>267</v>
      </c>
      <c r="F5" s="5" t="s">
        <v>267</v>
      </c>
      <c r="G5" s="5" t="s">
        <v>267</v>
      </c>
      <c r="H5" s="5" t="s">
        <v>267</v>
      </c>
      <c r="I5" s="5" t="s">
        <v>267</v>
      </c>
      <c r="J5" s="5" t="s">
        <v>267</v>
      </c>
      <c r="K5" s="5" t="s">
        <v>267</v>
      </c>
    </row>
    <row r="6" spans="1:11" x14ac:dyDescent="0.25">
      <c r="A6" s="5" t="s">
        <v>267</v>
      </c>
      <c r="B6" s="5" t="s">
        <v>267</v>
      </c>
      <c r="C6" s="5" t="s">
        <v>267</v>
      </c>
      <c r="D6" s="5" t="s">
        <v>267</v>
      </c>
      <c r="E6" s="5" t="s">
        <v>267</v>
      </c>
      <c r="F6" s="5" t="s">
        <v>267</v>
      </c>
      <c r="G6" s="5" t="s">
        <v>267</v>
      </c>
      <c r="H6" s="5" t="s">
        <v>267</v>
      </c>
      <c r="I6" s="5" t="s">
        <v>267</v>
      </c>
      <c r="J6" s="5" t="s">
        <v>267</v>
      </c>
      <c r="K6" s="5" t="s">
        <v>267</v>
      </c>
    </row>
    <row r="7" spans="1:11" x14ac:dyDescent="0.25">
      <c r="A7" s="5" t="s">
        <v>267</v>
      </c>
      <c r="B7" s="5" t="s">
        <v>267</v>
      </c>
      <c r="C7" s="5" t="s">
        <v>267</v>
      </c>
      <c r="D7" s="5" t="s">
        <v>267</v>
      </c>
      <c r="E7" s="5" t="s">
        <v>267</v>
      </c>
      <c r="F7" s="5" t="s">
        <v>267</v>
      </c>
      <c r="G7" s="5" t="s">
        <v>267</v>
      </c>
      <c r="H7" s="5" t="s">
        <v>267</v>
      </c>
      <c r="I7" s="5" t="s">
        <v>267</v>
      </c>
      <c r="J7" s="5" t="s">
        <v>267</v>
      </c>
      <c r="K7" s="5" t="s">
        <v>267</v>
      </c>
    </row>
  </sheetData>
  <mergeCells count="1">
    <mergeCell ref="A1:C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176</v>
      </c>
      <c r="B1" s="2" t="s">
        <v>207</v>
      </c>
    </row>
    <row r="2" spans="1:2" ht="45.75" thickBot="1" x14ac:dyDescent="0.3">
      <c r="A2" s="2" t="s">
        <v>180</v>
      </c>
      <c r="B2" s="2" t="s">
        <v>208</v>
      </c>
    </row>
    <row r="3" spans="1:2" ht="30.75" thickBot="1" x14ac:dyDescent="0.3">
      <c r="A3" s="2" t="s">
        <v>184</v>
      </c>
      <c r="B3" s="2" t="s">
        <v>209</v>
      </c>
    </row>
    <row r="4" spans="1:2" ht="45.75" thickBot="1" x14ac:dyDescent="0.3">
      <c r="A4" s="2" t="s">
        <v>187</v>
      </c>
      <c r="B4" s="2" t="s">
        <v>210</v>
      </c>
    </row>
    <row r="5" spans="1:2" ht="45.75" thickBot="1" x14ac:dyDescent="0.3">
      <c r="A5" s="2" t="s">
        <v>191</v>
      </c>
      <c r="B5" s="2" t="s">
        <v>211</v>
      </c>
    </row>
    <row r="6" spans="1:2" ht="30.75" thickBot="1" x14ac:dyDescent="0.3">
      <c r="A6" s="2" t="s">
        <v>195</v>
      </c>
      <c r="B6" s="2" t="s">
        <v>212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176</v>
      </c>
      <c r="B1" s="2" t="s">
        <v>207</v>
      </c>
    </row>
    <row r="2" spans="1:2" ht="15.75" thickBot="1" x14ac:dyDescent="0.3">
      <c r="A2" s="2" t="s">
        <v>180</v>
      </c>
      <c r="B2" s="2" t="s">
        <v>213</v>
      </c>
    </row>
    <row r="3" spans="1:2" ht="15.75" thickBot="1" x14ac:dyDescent="0.3">
      <c r="A3" s="2" t="s">
        <v>184</v>
      </c>
      <c r="B3" s="2" t="s">
        <v>214</v>
      </c>
    </row>
    <row r="4" spans="1:2" ht="45.75" thickBot="1" x14ac:dyDescent="0.3">
      <c r="A4" s="2" t="s">
        <v>187</v>
      </c>
      <c r="B4" s="2" t="s">
        <v>215</v>
      </c>
    </row>
    <row r="5" spans="1:2" ht="30.75" thickBot="1" x14ac:dyDescent="0.3">
      <c r="A5" s="2" t="s">
        <v>191</v>
      </c>
      <c r="B5" s="2" t="s">
        <v>216</v>
      </c>
    </row>
    <row r="6" spans="1:2" ht="30.75" thickBot="1" x14ac:dyDescent="0.3">
      <c r="A6" s="2" t="s">
        <v>195</v>
      </c>
      <c r="B6" s="2" t="s">
        <v>217</v>
      </c>
    </row>
    <row r="7" spans="1:2" ht="15.75" thickBot="1" x14ac:dyDescent="0.3">
      <c r="A7" s="2" t="s">
        <v>199</v>
      </c>
      <c r="B7" s="2" t="s">
        <v>218</v>
      </c>
    </row>
    <row r="8" spans="1:2" ht="30.75" thickBot="1" x14ac:dyDescent="0.3">
      <c r="A8" s="2" t="s">
        <v>203</v>
      </c>
      <c r="B8" s="2" t="s">
        <v>219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29"/>
  <sheetViews>
    <sheetView topLeftCell="B1" zoomScale="130" zoomScaleNormal="130" workbookViewId="0">
      <selection activeCell="C28" sqref="C28"/>
    </sheetView>
  </sheetViews>
  <sheetFormatPr defaultRowHeight="15" x14ac:dyDescent="0.25"/>
  <cols>
    <col min="1" max="1" width="41.28515625" customWidth="1"/>
    <col min="2" max="2" width="20.28515625" customWidth="1"/>
    <col min="3" max="3" width="62.5703125" bestFit="1" customWidth="1"/>
    <col min="4" max="4" width="83.140625" bestFit="1" customWidth="1"/>
  </cols>
  <sheetData>
    <row r="1" spans="1:4" x14ac:dyDescent="0.25">
      <c r="A1" s="78" t="s">
        <v>220</v>
      </c>
      <c r="B1" s="78" t="s">
        <v>221</v>
      </c>
      <c r="C1" s="78" t="s">
        <v>222</v>
      </c>
      <c r="D1" s="78" t="s">
        <v>124</v>
      </c>
    </row>
    <row r="2" spans="1:4" x14ac:dyDescent="0.25">
      <c r="A2" s="114" t="s">
        <v>223</v>
      </c>
      <c r="B2" s="114" t="s">
        <v>224</v>
      </c>
      <c r="C2" s="110" t="s">
        <v>329</v>
      </c>
      <c r="D2" s="93" t="s">
        <v>298</v>
      </c>
    </row>
    <row r="3" spans="1:4" x14ac:dyDescent="0.25">
      <c r="A3" s="115"/>
      <c r="B3" s="115"/>
      <c r="C3" s="111"/>
      <c r="D3" s="93" t="s">
        <v>314</v>
      </c>
    </row>
    <row r="4" spans="1:4" x14ac:dyDescent="0.25">
      <c r="A4" s="112" t="s">
        <v>225</v>
      </c>
      <c r="B4" s="113" t="s">
        <v>226</v>
      </c>
      <c r="C4" s="111" t="s">
        <v>330</v>
      </c>
      <c r="D4" s="93" t="s">
        <v>315</v>
      </c>
    </row>
    <row r="5" spans="1:4" x14ac:dyDescent="0.25">
      <c r="A5" s="112"/>
      <c r="B5" s="113"/>
      <c r="C5" s="111"/>
      <c r="D5" s="93" t="s">
        <v>489</v>
      </c>
    </row>
    <row r="6" spans="1:4" x14ac:dyDescent="0.25">
      <c r="A6" s="79" t="s">
        <v>227</v>
      </c>
      <c r="B6" s="79" t="s">
        <v>228</v>
      </c>
      <c r="C6" s="81" t="s">
        <v>331</v>
      </c>
      <c r="D6" s="93" t="s">
        <v>316</v>
      </c>
    </row>
    <row r="7" spans="1:4" x14ac:dyDescent="0.25">
      <c r="A7" s="80" t="s">
        <v>229</v>
      </c>
      <c r="B7" s="83" t="s">
        <v>333</v>
      </c>
      <c r="C7" s="87" t="s">
        <v>490</v>
      </c>
      <c r="D7" s="93" t="s">
        <v>491</v>
      </c>
    </row>
    <row r="8" spans="1:4" x14ac:dyDescent="0.25">
      <c r="A8" s="97" t="s">
        <v>356</v>
      </c>
      <c r="B8" s="91" t="s">
        <v>332</v>
      </c>
      <c r="C8" s="90" t="s">
        <v>135</v>
      </c>
      <c r="D8" s="93" t="s">
        <v>135</v>
      </c>
    </row>
    <row r="9" spans="1:4" ht="26.25" x14ac:dyDescent="0.25">
      <c r="A9" s="80" t="s">
        <v>354</v>
      </c>
      <c r="B9" s="80" t="s">
        <v>318</v>
      </c>
      <c r="C9" s="95" t="s">
        <v>362</v>
      </c>
      <c r="D9" s="82" t="s">
        <v>299</v>
      </c>
    </row>
    <row r="10" spans="1:4" x14ac:dyDescent="0.25">
      <c r="A10" s="79"/>
      <c r="B10" s="79"/>
      <c r="C10" s="84"/>
      <c r="D10" s="95" t="s">
        <v>135</v>
      </c>
    </row>
    <row r="11" spans="1:4" x14ac:dyDescent="0.25">
      <c r="A11" s="80" t="s">
        <v>355</v>
      </c>
      <c r="B11" s="80" t="s">
        <v>319</v>
      </c>
      <c r="C11" s="98" t="s">
        <v>363</v>
      </c>
      <c r="D11" s="93" t="s">
        <v>300</v>
      </c>
    </row>
    <row r="12" spans="1:4" x14ac:dyDescent="0.25">
      <c r="A12" s="79"/>
      <c r="B12" s="79"/>
      <c r="C12" s="84"/>
      <c r="D12" s="93" t="s">
        <v>301</v>
      </c>
    </row>
    <row r="13" spans="1:4" x14ac:dyDescent="0.25">
      <c r="A13" s="86"/>
      <c r="B13" s="79"/>
      <c r="C13" s="84"/>
      <c r="D13" s="93" t="s">
        <v>302</v>
      </c>
    </row>
    <row r="14" spans="1:4" x14ac:dyDescent="0.25">
      <c r="A14" s="86"/>
      <c r="B14" s="79"/>
      <c r="C14" s="84"/>
      <c r="D14" s="93" t="s">
        <v>303</v>
      </c>
    </row>
    <row r="15" spans="1:4" x14ac:dyDescent="0.25">
      <c r="A15" s="86"/>
      <c r="B15" s="79"/>
      <c r="C15" s="80" t="s">
        <v>230</v>
      </c>
      <c r="D15" s="93" t="s">
        <v>304</v>
      </c>
    </row>
    <row r="16" spans="1:4" x14ac:dyDescent="0.25">
      <c r="A16" s="86"/>
      <c r="B16" s="79"/>
      <c r="C16" s="79"/>
      <c r="D16" s="93" t="s">
        <v>305</v>
      </c>
    </row>
    <row r="17" spans="1:4" x14ac:dyDescent="0.25">
      <c r="A17" s="86"/>
      <c r="B17" s="79"/>
      <c r="C17" s="79" t="s">
        <v>231</v>
      </c>
      <c r="D17" s="93" t="s">
        <v>306</v>
      </c>
    </row>
    <row r="18" spans="1:4" x14ac:dyDescent="0.25">
      <c r="A18" s="86"/>
      <c r="B18" s="79"/>
      <c r="C18" s="79" t="s">
        <v>232</v>
      </c>
      <c r="D18" s="93" t="s">
        <v>307</v>
      </c>
    </row>
    <row r="19" spans="1:4" x14ac:dyDescent="0.25">
      <c r="A19" s="86"/>
      <c r="B19" s="79"/>
      <c r="C19" s="79"/>
      <c r="D19" s="93" t="s">
        <v>308</v>
      </c>
    </row>
    <row r="20" spans="1:4" x14ac:dyDescent="0.25">
      <c r="A20" s="80" t="s">
        <v>233</v>
      </c>
      <c r="B20" s="80" t="s">
        <v>234</v>
      </c>
      <c r="C20" s="85" t="s">
        <v>235</v>
      </c>
      <c r="D20" s="93" t="s">
        <v>492</v>
      </c>
    </row>
    <row r="21" spans="1:4" x14ac:dyDescent="0.25">
      <c r="A21" s="79"/>
      <c r="B21" s="79"/>
      <c r="C21" s="84"/>
      <c r="D21" s="93" t="s">
        <v>493</v>
      </c>
    </row>
    <row r="22" spans="1:4" x14ac:dyDescent="0.25">
      <c r="A22" s="79"/>
      <c r="B22" s="79"/>
      <c r="C22" s="84"/>
      <c r="D22" s="93" t="s">
        <v>310</v>
      </c>
    </row>
    <row r="23" spans="1:4" x14ac:dyDescent="0.25">
      <c r="A23" s="79"/>
      <c r="B23" s="79"/>
      <c r="C23" s="79" t="s">
        <v>236</v>
      </c>
      <c r="D23" s="93" t="s">
        <v>494</v>
      </c>
    </row>
    <row r="24" spans="1:4" x14ac:dyDescent="0.25">
      <c r="A24" s="79"/>
      <c r="B24" s="79"/>
      <c r="C24" s="79"/>
      <c r="D24" s="93" t="s">
        <v>311</v>
      </c>
    </row>
    <row r="25" spans="1:4" x14ac:dyDescent="0.25">
      <c r="A25" s="79"/>
      <c r="B25" s="79"/>
      <c r="C25" s="79"/>
      <c r="D25" s="93" t="s">
        <v>312</v>
      </c>
    </row>
    <row r="26" spans="1:4" x14ac:dyDescent="0.25">
      <c r="A26" s="79"/>
      <c r="B26" s="79"/>
      <c r="C26" s="79"/>
      <c r="D26" s="93" t="s">
        <v>312</v>
      </c>
    </row>
    <row r="27" spans="1:4" ht="39" x14ac:dyDescent="0.25">
      <c r="A27" s="80" t="s">
        <v>336</v>
      </c>
      <c r="B27" s="88" t="s">
        <v>320</v>
      </c>
      <c r="C27" s="96" t="s">
        <v>496</v>
      </c>
      <c r="D27" s="93" t="s">
        <v>313</v>
      </c>
    </row>
    <row r="28" spans="1:4" x14ac:dyDescent="0.25">
      <c r="A28" s="80" t="s">
        <v>237</v>
      </c>
      <c r="B28" s="80" t="s">
        <v>238</v>
      </c>
      <c r="C28" s="80" t="s">
        <v>239</v>
      </c>
      <c r="D28" s="80"/>
    </row>
    <row r="29" spans="1:4" x14ac:dyDescent="0.25">
      <c r="A29" s="85" t="s">
        <v>334</v>
      </c>
      <c r="B29" s="85" t="s">
        <v>335</v>
      </c>
      <c r="C29" s="87" t="s">
        <v>309</v>
      </c>
      <c r="D29" s="93" t="s">
        <v>495</v>
      </c>
    </row>
  </sheetData>
  <mergeCells count="6">
    <mergeCell ref="C2:C3"/>
    <mergeCell ref="A4:A5"/>
    <mergeCell ref="B4:B5"/>
    <mergeCell ref="C4:C5"/>
    <mergeCell ref="A2:A3"/>
    <mergeCell ref="B2:B3"/>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49"/>
  <sheetViews>
    <sheetView tabSelected="1" workbookViewId="0">
      <selection activeCell="E31" sqref="E31:E49"/>
    </sheetView>
  </sheetViews>
  <sheetFormatPr defaultRowHeight="15" x14ac:dyDescent="0.25"/>
  <cols>
    <col min="4" max="4" width="24.7109375" bestFit="1" customWidth="1"/>
  </cols>
  <sheetData>
    <row r="1" spans="1:6" ht="15.75" x14ac:dyDescent="0.25">
      <c r="A1" s="50" t="s">
        <v>240</v>
      </c>
      <c r="B1" s="50" t="s">
        <v>241</v>
      </c>
      <c r="C1" s="50" t="s">
        <v>242</v>
      </c>
      <c r="D1" s="50" t="s">
        <v>243</v>
      </c>
      <c r="E1" s="50" t="s">
        <v>328</v>
      </c>
      <c r="F1" s="50" t="s">
        <v>244</v>
      </c>
    </row>
    <row r="2" spans="1:6" ht="15.75" x14ac:dyDescent="0.25">
      <c r="A2" t="s">
        <v>498</v>
      </c>
      <c r="B2" t="s">
        <v>497</v>
      </c>
      <c r="C2">
        <v>12.34</v>
      </c>
      <c r="D2">
        <v>-16.95</v>
      </c>
      <c r="E2" s="51" t="s">
        <v>569</v>
      </c>
      <c r="F2" s="51" t="s">
        <v>570</v>
      </c>
    </row>
    <row r="3" spans="1:6" ht="15.75" x14ac:dyDescent="0.25">
      <c r="A3" t="s">
        <v>498</v>
      </c>
      <c r="B3" t="s">
        <v>501</v>
      </c>
      <c r="C3">
        <v>12.34</v>
      </c>
      <c r="D3">
        <v>-17.47</v>
      </c>
      <c r="E3" s="51" t="s">
        <v>569</v>
      </c>
      <c r="F3" s="51" t="s">
        <v>570</v>
      </c>
    </row>
    <row r="4" spans="1:6" ht="15.75" x14ac:dyDescent="0.25">
      <c r="A4" t="s">
        <v>503</v>
      </c>
      <c r="B4" t="s">
        <v>502</v>
      </c>
      <c r="C4">
        <v>12.51</v>
      </c>
      <c r="D4">
        <v>-17.61</v>
      </c>
      <c r="E4" s="51" t="s">
        <v>569</v>
      </c>
      <c r="F4" s="51" t="s">
        <v>571</v>
      </c>
    </row>
    <row r="5" spans="1:6" ht="15.75" x14ac:dyDescent="0.25">
      <c r="A5" t="s">
        <v>503</v>
      </c>
      <c r="B5" t="s">
        <v>504</v>
      </c>
      <c r="C5">
        <v>12.51</v>
      </c>
      <c r="D5">
        <v>-17.25</v>
      </c>
      <c r="E5" s="51" t="s">
        <v>569</v>
      </c>
      <c r="F5" s="51" t="s">
        <v>571</v>
      </c>
    </row>
    <row r="6" spans="1:6" ht="15.75" x14ac:dyDescent="0.25">
      <c r="A6" t="s">
        <v>506</v>
      </c>
      <c r="B6" t="s">
        <v>505</v>
      </c>
      <c r="C6">
        <v>12.67</v>
      </c>
      <c r="D6">
        <v>-17.2</v>
      </c>
      <c r="E6" s="51" t="s">
        <v>569</v>
      </c>
      <c r="F6" s="51" t="s">
        <v>572</v>
      </c>
    </row>
    <row r="7" spans="1:6" ht="15.75" x14ac:dyDescent="0.25">
      <c r="A7" t="s">
        <v>506</v>
      </c>
      <c r="B7" t="s">
        <v>507</v>
      </c>
      <c r="C7">
        <v>12.67</v>
      </c>
      <c r="D7">
        <v>-17.68</v>
      </c>
      <c r="E7" s="51" t="s">
        <v>569</v>
      </c>
      <c r="F7" s="51" t="s">
        <v>572</v>
      </c>
    </row>
    <row r="8" spans="1:6" ht="15.75" x14ac:dyDescent="0.25">
      <c r="A8" t="s">
        <v>508</v>
      </c>
      <c r="B8" t="s">
        <v>507</v>
      </c>
      <c r="C8">
        <v>12.84</v>
      </c>
      <c r="D8">
        <v>-17.68</v>
      </c>
      <c r="E8" s="51" t="s">
        <v>569</v>
      </c>
      <c r="F8" s="51" t="s">
        <v>573</v>
      </c>
    </row>
    <row r="9" spans="1:6" ht="15.75" x14ac:dyDescent="0.25">
      <c r="A9" t="s">
        <v>508</v>
      </c>
      <c r="B9" t="s">
        <v>509</v>
      </c>
      <c r="C9">
        <v>12.84</v>
      </c>
      <c r="D9">
        <v>-17.12</v>
      </c>
      <c r="E9" s="51" t="s">
        <v>569</v>
      </c>
      <c r="F9" s="51" t="s">
        <v>573</v>
      </c>
    </row>
    <row r="10" spans="1:6" ht="15.75" x14ac:dyDescent="0.25">
      <c r="A10" t="s">
        <v>511</v>
      </c>
      <c r="B10" t="s">
        <v>510</v>
      </c>
      <c r="C10">
        <v>13.01</v>
      </c>
      <c r="D10">
        <v>-17.05</v>
      </c>
      <c r="E10" s="51" t="s">
        <v>569</v>
      </c>
      <c r="F10" s="51" t="s">
        <v>574</v>
      </c>
    </row>
    <row r="11" spans="1:6" ht="15.75" x14ac:dyDescent="0.25">
      <c r="A11" t="s">
        <v>511</v>
      </c>
      <c r="B11" t="s">
        <v>512</v>
      </c>
      <c r="C11">
        <v>13.01</v>
      </c>
      <c r="D11">
        <v>-17.66</v>
      </c>
      <c r="E11" s="51" t="s">
        <v>569</v>
      </c>
      <c r="F11" s="51" t="s">
        <v>574</v>
      </c>
    </row>
    <row r="12" spans="1:6" ht="15.75" x14ac:dyDescent="0.25">
      <c r="A12" t="s">
        <v>514</v>
      </c>
      <c r="B12" t="s">
        <v>513</v>
      </c>
      <c r="C12">
        <v>13.17</v>
      </c>
      <c r="D12">
        <v>-17.62</v>
      </c>
      <c r="E12" s="51" t="s">
        <v>466</v>
      </c>
      <c r="F12" s="51" t="s">
        <v>575</v>
      </c>
    </row>
    <row r="13" spans="1:6" ht="15.75" x14ac:dyDescent="0.25">
      <c r="A13" t="s">
        <v>514</v>
      </c>
      <c r="B13" t="s">
        <v>515</v>
      </c>
      <c r="C13">
        <v>13.17</v>
      </c>
      <c r="D13">
        <v>-17.04</v>
      </c>
      <c r="E13" s="51" t="s">
        <v>466</v>
      </c>
      <c r="F13" s="51" t="s">
        <v>575</v>
      </c>
    </row>
    <row r="14" spans="1:6" ht="15.75" x14ac:dyDescent="0.25">
      <c r="A14" t="s">
        <v>517</v>
      </c>
      <c r="B14" t="s">
        <v>516</v>
      </c>
      <c r="C14">
        <v>13.34</v>
      </c>
      <c r="D14">
        <v>-17.03</v>
      </c>
      <c r="E14" s="51" t="s">
        <v>466</v>
      </c>
      <c r="F14" s="51" t="s">
        <v>576</v>
      </c>
    </row>
    <row r="15" spans="1:6" ht="15.75" x14ac:dyDescent="0.25">
      <c r="A15" t="s">
        <v>517</v>
      </c>
      <c r="B15" t="s">
        <v>520</v>
      </c>
      <c r="C15">
        <v>13.34</v>
      </c>
      <c r="D15">
        <v>-17.57</v>
      </c>
      <c r="E15" s="51" t="s">
        <v>466</v>
      </c>
      <c r="F15" s="51" t="s">
        <v>576</v>
      </c>
    </row>
    <row r="16" spans="1:6" ht="15.75" x14ac:dyDescent="0.25">
      <c r="A16" t="s">
        <v>521</v>
      </c>
      <c r="B16" t="s">
        <v>518</v>
      </c>
      <c r="C16">
        <v>13.51</v>
      </c>
      <c r="D16">
        <v>-17.489999999999998</v>
      </c>
      <c r="E16" s="51" t="s">
        <v>466</v>
      </c>
      <c r="F16" s="51" t="s">
        <v>577</v>
      </c>
    </row>
    <row r="17" spans="1:6" ht="15.75" x14ac:dyDescent="0.25">
      <c r="A17" t="s">
        <v>521</v>
      </c>
      <c r="B17" t="s">
        <v>522</v>
      </c>
      <c r="C17">
        <v>13.51</v>
      </c>
      <c r="D17">
        <v>-16.989999999999998</v>
      </c>
      <c r="E17" s="51" t="s">
        <v>466</v>
      </c>
      <c r="F17" s="51" t="s">
        <v>577</v>
      </c>
    </row>
    <row r="18" spans="1:6" ht="15.75" x14ac:dyDescent="0.25">
      <c r="A18" t="s">
        <v>524</v>
      </c>
      <c r="B18" t="s">
        <v>523</v>
      </c>
      <c r="C18">
        <v>13.67</v>
      </c>
      <c r="D18">
        <v>-17.02</v>
      </c>
      <c r="E18" s="51" t="s">
        <v>594</v>
      </c>
      <c r="F18" s="51" t="s">
        <v>578</v>
      </c>
    </row>
    <row r="19" spans="1:6" ht="15.75" x14ac:dyDescent="0.25">
      <c r="A19" t="s">
        <v>526</v>
      </c>
      <c r="B19" t="s">
        <v>525</v>
      </c>
      <c r="C19">
        <v>13.68</v>
      </c>
      <c r="D19">
        <v>-17.48</v>
      </c>
      <c r="E19" s="51" t="s">
        <v>594</v>
      </c>
      <c r="F19" s="51" t="s">
        <v>578</v>
      </c>
    </row>
    <row r="20" spans="1:6" ht="15.75" x14ac:dyDescent="0.25">
      <c r="A20" t="s">
        <v>527</v>
      </c>
      <c r="B20" t="s">
        <v>525</v>
      </c>
      <c r="C20">
        <v>13.84</v>
      </c>
      <c r="D20">
        <v>-17.48</v>
      </c>
      <c r="E20" s="51" t="s">
        <v>594</v>
      </c>
      <c r="F20" s="51" t="s">
        <v>579</v>
      </c>
    </row>
    <row r="21" spans="1:6" ht="15.75" x14ac:dyDescent="0.25">
      <c r="A21" t="s">
        <v>527</v>
      </c>
      <c r="B21" t="s">
        <v>523</v>
      </c>
      <c r="C21">
        <v>13.84</v>
      </c>
      <c r="D21">
        <v>-17.02</v>
      </c>
      <c r="E21" s="51" t="s">
        <v>594</v>
      </c>
      <c r="F21" s="51" t="s">
        <v>579</v>
      </c>
    </row>
    <row r="22" spans="1:6" ht="15.75" x14ac:dyDescent="0.25">
      <c r="A22" t="s">
        <v>528</v>
      </c>
      <c r="B22" t="s">
        <v>510</v>
      </c>
      <c r="C22">
        <v>14.01</v>
      </c>
      <c r="D22">
        <v>-17.05</v>
      </c>
      <c r="E22" s="51" t="s">
        <v>594</v>
      </c>
      <c r="F22" s="51" t="s">
        <v>580</v>
      </c>
    </row>
    <row r="23" spans="1:6" ht="15.75" x14ac:dyDescent="0.25">
      <c r="A23" t="s">
        <v>528</v>
      </c>
      <c r="B23" t="s">
        <v>519</v>
      </c>
      <c r="C23">
        <v>14.01</v>
      </c>
      <c r="D23">
        <v>-17.53</v>
      </c>
      <c r="E23" s="51" t="s">
        <v>594</v>
      </c>
      <c r="F23" s="51" t="s">
        <v>580</v>
      </c>
    </row>
    <row r="24" spans="1:6" ht="15.75" x14ac:dyDescent="0.25">
      <c r="A24" t="s">
        <v>530</v>
      </c>
      <c r="B24" t="s">
        <v>529</v>
      </c>
      <c r="C24">
        <v>14.18</v>
      </c>
      <c r="D24">
        <v>-17.55</v>
      </c>
      <c r="E24" s="51" t="s">
        <v>594</v>
      </c>
      <c r="F24" s="51" t="s">
        <v>581</v>
      </c>
    </row>
    <row r="25" spans="1:6" ht="15.75" x14ac:dyDescent="0.25">
      <c r="A25" t="s">
        <v>530</v>
      </c>
      <c r="B25" t="s">
        <v>531</v>
      </c>
      <c r="C25">
        <v>14.18</v>
      </c>
      <c r="D25">
        <v>-17.11</v>
      </c>
      <c r="E25" s="51" t="s">
        <v>594</v>
      </c>
      <c r="F25" s="51" t="s">
        <v>581</v>
      </c>
    </row>
    <row r="26" spans="1:6" ht="15.75" x14ac:dyDescent="0.25">
      <c r="A26" t="s">
        <v>533</v>
      </c>
      <c r="B26" t="s">
        <v>532</v>
      </c>
      <c r="C26">
        <v>14.34</v>
      </c>
      <c r="D26">
        <v>-17.14</v>
      </c>
      <c r="E26" s="51" t="s">
        <v>594</v>
      </c>
      <c r="F26" s="51" t="s">
        <v>582</v>
      </c>
    </row>
    <row r="27" spans="1:6" ht="15.75" x14ac:dyDescent="0.25">
      <c r="A27" t="s">
        <v>533</v>
      </c>
      <c r="B27" t="s">
        <v>534</v>
      </c>
      <c r="C27">
        <v>14.34</v>
      </c>
      <c r="D27">
        <v>-17.579999999999998</v>
      </c>
      <c r="E27" s="51" t="s">
        <v>594</v>
      </c>
      <c r="F27" s="51" t="s">
        <v>582</v>
      </c>
    </row>
    <row r="28" spans="1:6" ht="15.75" x14ac:dyDescent="0.25">
      <c r="A28" t="s">
        <v>536</v>
      </c>
      <c r="B28" t="s">
        <v>535</v>
      </c>
      <c r="C28">
        <v>14.51</v>
      </c>
      <c r="D28">
        <v>-17.63</v>
      </c>
      <c r="E28" s="51" t="s">
        <v>594</v>
      </c>
      <c r="F28" s="51" t="s">
        <v>583</v>
      </c>
    </row>
    <row r="29" spans="1:6" ht="15.75" x14ac:dyDescent="0.25">
      <c r="A29" t="s">
        <v>536</v>
      </c>
      <c r="B29" t="s">
        <v>537</v>
      </c>
      <c r="C29">
        <v>14.51</v>
      </c>
      <c r="D29">
        <v>-17.16</v>
      </c>
      <c r="E29" s="51" t="s">
        <v>594</v>
      </c>
      <c r="F29" s="51" t="s">
        <v>583</v>
      </c>
    </row>
    <row r="30" spans="1:6" ht="15.75" x14ac:dyDescent="0.25">
      <c r="A30" t="s">
        <v>538</v>
      </c>
      <c r="B30" t="s">
        <v>525</v>
      </c>
      <c r="C30">
        <v>14.68</v>
      </c>
      <c r="D30">
        <v>-17.48</v>
      </c>
      <c r="E30" s="51" t="s">
        <v>594</v>
      </c>
      <c r="F30" s="51" t="s">
        <v>584</v>
      </c>
    </row>
    <row r="31" spans="1:6" ht="15.75" x14ac:dyDescent="0.25">
      <c r="A31" t="s">
        <v>538</v>
      </c>
      <c r="B31" t="s">
        <v>539</v>
      </c>
      <c r="C31">
        <v>14.68</v>
      </c>
      <c r="D31">
        <v>-17.649999999999999</v>
      </c>
      <c r="E31" s="51" t="s">
        <v>595</v>
      </c>
      <c r="F31" s="51" t="s">
        <v>584</v>
      </c>
    </row>
    <row r="32" spans="1:6" ht="15.75" x14ac:dyDescent="0.25">
      <c r="A32" t="s">
        <v>540</v>
      </c>
      <c r="B32" t="s">
        <v>539</v>
      </c>
      <c r="C32">
        <v>14.84</v>
      </c>
      <c r="D32">
        <v>-17.649999999999999</v>
      </c>
      <c r="E32" s="51" t="s">
        <v>595</v>
      </c>
      <c r="F32" s="51" t="s">
        <v>585</v>
      </c>
    </row>
    <row r="33" spans="1:6" ht="15.75" x14ac:dyDescent="0.25">
      <c r="A33" t="s">
        <v>541</v>
      </c>
      <c r="B33" t="s">
        <v>500</v>
      </c>
      <c r="C33">
        <v>14.79</v>
      </c>
      <c r="D33">
        <v>-17.43</v>
      </c>
      <c r="E33" s="51" t="s">
        <v>595</v>
      </c>
      <c r="F33" s="51" t="s">
        <v>585</v>
      </c>
    </row>
    <row r="34" spans="1:6" ht="15.75" x14ac:dyDescent="0.25">
      <c r="A34" t="s">
        <v>543</v>
      </c>
      <c r="B34" t="s">
        <v>542</v>
      </c>
      <c r="C34">
        <v>14.86</v>
      </c>
      <c r="D34">
        <v>-17.28</v>
      </c>
      <c r="E34" s="51" t="s">
        <v>595</v>
      </c>
      <c r="F34" s="51" t="s">
        <v>587</v>
      </c>
    </row>
    <row r="35" spans="1:6" ht="15.75" x14ac:dyDescent="0.25">
      <c r="A35" t="s">
        <v>544</v>
      </c>
      <c r="B35" t="s">
        <v>518</v>
      </c>
      <c r="C35">
        <v>15.01</v>
      </c>
      <c r="D35">
        <v>-17.489999999999998</v>
      </c>
      <c r="E35" s="51" t="s">
        <v>595</v>
      </c>
      <c r="F35" s="51" t="s">
        <v>587</v>
      </c>
    </row>
    <row r="36" spans="1:6" ht="15.75" x14ac:dyDescent="0.25">
      <c r="A36" t="s">
        <v>546</v>
      </c>
      <c r="B36" t="s">
        <v>545</v>
      </c>
      <c r="C36">
        <v>15.12</v>
      </c>
      <c r="D36">
        <v>-17.36</v>
      </c>
      <c r="E36" s="51" t="s">
        <v>595</v>
      </c>
      <c r="F36" s="51" t="s">
        <v>586</v>
      </c>
    </row>
    <row r="37" spans="1:6" ht="15.75" x14ac:dyDescent="0.25">
      <c r="A37" t="s">
        <v>547</v>
      </c>
      <c r="B37" t="s">
        <v>509</v>
      </c>
      <c r="C37">
        <v>14.95</v>
      </c>
      <c r="D37">
        <v>-17.12</v>
      </c>
      <c r="E37" s="51" t="s">
        <v>595</v>
      </c>
      <c r="F37" s="51" t="s">
        <v>586</v>
      </c>
    </row>
    <row r="38" spans="1:6" ht="15.75" x14ac:dyDescent="0.25">
      <c r="A38" t="s">
        <v>548</v>
      </c>
      <c r="B38" t="s">
        <v>523</v>
      </c>
      <c r="C38">
        <v>15.09</v>
      </c>
      <c r="D38">
        <v>-17.02</v>
      </c>
      <c r="E38" s="51" t="s">
        <v>595</v>
      </c>
      <c r="F38" s="51" t="s">
        <v>588</v>
      </c>
    </row>
    <row r="39" spans="1:6" ht="15.75" x14ac:dyDescent="0.25">
      <c r="A39" t="s">
        <v>550</v>
      </c>
      <c r="B39" t="s">
        <v>542</v>
      </c>
      <c r="C39">
        <v>15.28</v>
      </c>
      <c r="D39">
        <v>-17.28</v>
      </c>
      <c r="E39" s="51" t="s">
        <v>595</v>
      </c>
      <c r="F39" s="51" t="s">
        <v>588</v>
      </c>
    </row>
    <row r="40" spans="1:6" ht="15.75" x14ac:dyDescent="0.25">
      <c r="A40" t="s">
        <v>551</v>
      </c>
      <c r="B40" t="s">
        <v>499</v>
      </c>
      <c r="C40">
        <v>15.45</v>
      </c>
      <c r="D40">
        <v>-17.239999999999998</v>
      </c>
      <c r="E40" s="51" t="s">
        <v>595</v>
      </c>
      <c r="F40" s="51" t="s">
        <v>589</v>
      </c>
    </row>
    <row r="41" spans="1:6" ht="15.75" x14ac:dyDescent="0.25">
      <c r="A41" t="s">
        <v>549</v>
      </c>
      <c r="B41" t="s">
        <v>552</v>
      </c>
      <c r="C41">
        <v>15.23</v>
      </c>
      <c r="D41">
        <v>-16.920000000000002</v>
      </c>
      <c r="E41" s="51" t="s">
        <v>595</v>
      </c>
      <c r="F41" s="51" t="s">
        <v>589</v>
      </c>
    </row>
    <row r="42" spans="1:6" ht="15.75" x14ac:dyDescent="0.25">
      <c r="A42" t="s">
        <v>554</v>
      </c>
      <c r="B42" t="s">
        <v>553</v>
      </c>
      <c r="C42">
        <v>15.38</v>
      </c>
      <c r="D42">
        <v>-16.84</v>
      </c>
      <c r="E42" s="51" t="s">
        <v>595</v>
      </c>
      <c r="F42" s="51" t="s">
        <v>590</v>
      </c>
    </row>
    <row r="43" spans="1:6" ht="15.75" x14ac:dyDescent="0.25">
      <c r="A43" t="s">
        <v>556</v>
      </c>
      <c r="B43" t="s">
        <v>555</v>
      </c>
      <c r="C43">
        <v>15.6</v>
      </c>
      <c r="D43">
        <v>-17.149999999999999</v>
      </c>
      <c r="E43" s="51" t="s">
        <v>595</v>
      </c>
      <c r="F43" s="51" t="s">
        <v>590</v>
      </c>
    </row>
    <row r="44" spans="1:6" ht="15.75" x14ac:dyDescent="0.25">
      <c r="A44" t="s">
        <v>558</v>
      </c>
      <c r="B44" t="s">
        <v>557</v>
      </c>
      <c r="C44">
        <v>15.75</v>
      </c>
      <c r="D44">
        <v>-17.079999999999998</v>
      </c>
      <c r="E44" s="51" t="s">
        <v>595</v>
      </c>
      <c r="F44" s="51" t="s">
        <v>591</v>
      </c>
    </row>
    <row r="45" spans="1:6" ht="15.75" x14ac:dyDescent="0.25">
      <c r="A45" t="s">
        <v>560</v>
      </c>
      <c r="B45" t="s">
        <v>559</v>
      </c>
      <c r="C45">
        <v>15.53</v>
      </c>
      <c r="D45">
        <v>-16.760000000000002</v>
      </c>
      <c r="E45" s="51" t="s">
        <v>595</v>
      </c>
      <c r="F45" s="51" t="s">
        <v>591</v>
      </c>
    </row>
    <row r="46" spans="1:6" ht="15.75" x14ac:dyDescent="0.25">
      <c r="A46" t="s">
        <v>562</v>
      </c>
      <c r="B46" t="s">
        <v>561</v>
      </c>
      <c r="C46">
        <v>15.67</v>
      </c>
      <c r="D46">
        <v>-16.670000000000002</v>
      </c>
      <c r="E46" s="51" t="s">
        <v>595</v>
      </c>
      <c r="F46" s="51" t="s">
        <v>592</v>
      </c>
    </row>
    <row r="47" spans="1:6" ht="15.75" x14ac:dyDescent="0.25">
      <c r="A47" t="s">
        <v>564</v>
      </c>
      <c r="B47" t="s">
        <v>563</v>
      </c>
      <c r="C47">
        <v>15.91</v>
      </c>
      <c r="D47">
        <v>-17</v>
      </c>
      <c r="E47" s="51" t="s">
        <v>595</v>
      </c>
      <c r="F47" s="51" t="s">
        <v>592</v>
      </c>
    </row>
    <row r="48" spans="1:6" ht="15.75" x14ac:dyDescent="0.25">
      <c r="A48" t="s">
        <v>566</v>
      </c>
      <c r="B48" t="s">
        <v>565</v>
      </c>
      <c r="C48">
        <v>16.05</v>
      </c>
      <c r="D48">
        <v>-16.97</v>
      </c>
      <c r="E48" s="51" t="s">
        <v>595</v>
      </c>
      <c r="F48" s="51" t="s">
        <v>593</v>
      </c>
    </row>
    <row r="49" spans="1:6" ht="15.75" x14ac:dyDescent="0.25">
      <c r="A49" t="s">
        <v>568</v>
      </c>
      <c r="B49" t="s">
        <v>567</v>
      </c>
      <c r="C49">
        <v>15.86</v>
      </c>
      <c r="D49">
        <v>-16.59</v>
      </c>
      <c r="E49" s="51" t="s">
        <v>595</v>
      </c>
      <c r="F49" s="51" t="s">
        <v>593</v>
      </c>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5" x14ac:dyDescent="0.25"/>
  <cols>
    <col min="2" max="2" width="9.85546875" bestFit="1" customWidth="1"/>
    <col min="5" max="5" width="9.85546875" bestFit="1" customWidth="1"/>
    <col min="8" max="8" width="9.85546875" bestFit="1" customWidth="1"/>
    <col min="11" max="11" width="9.85546875" bestFit="1" customWidth="1"/>
  </cols>
  <sheetData>
    <row r="1" spans="1:12" x14ac:dyDescent="0.25">
      <c r="A1" s="52" t="s">
        <v>245</v>
      </c>
      <c r="B1" s="53" t="s">
        <v>246</v>
      </c>
      <c r="C1" s="52" t="s">
        <v>247</v>
      </c>
      <c r="D1" s="54" t="s">
        <v>245</v>
      </c>
      <c r="E1" s="53" t="s">
        <v>246</v>
      </c>
      <c r="F1" s="52" t="s">
        <v>247</v>
      </c>
      <c r="G1" s="55" t="s">
        <v>245</v>
      </c>
      <c r="H1" s="53" t="s">
        <v>246</v>
      </c>
      <c r="I1" s="52" t="s">
        <v>247</v>
      </c>
      <c r="J1" s="53" t="s">
        <v>245</v>
      </c>
      <c r="K1" s="52" t="s">
        <v>246</v>
      </c>
      <c r="L1" s="55" t="s">
        <v>247</v>
      </c>
    </row>
    <row r="2" spans="1:12" x14ac:dyDescent="0.25">
      <c r="A2" s="56" t="s">
        <v>248</v>
      </c>
      <c r="B2" s="54">
        <v>1</v>
      </c>
      <c r="C2" s="57">
        <v>7</v>
      </c>
      <c r="D2" s="56" t="s">
        <v>249</v>
      </c>
      <c r="E2" s="54">
        <v>28</v>
      </c>
      <c r="F2" s="57">
        <v>9</v>
      </c>
      <c r="G2" s="58" t="s">
        <v>79</v>
      </c>
      <c r="H2" s="54">
        <v>51</v>
      </c>
      <c r="I2" s="57">
        <v>4</v>
      </c>
      <c r="J2" s="58" t="s">
        <v>180</v>
      </c>
      <c r="K2" s="59">
        <v>73</v>
      </c>
      <c r="L2" s="52">
        <v>1</v>
      </c>
    </row>
    <row r="3" spans="1:12" x14ac:dyDescent="0.25">
      <c r="A3" s="60"/>
      <c r="B3" s="54">
        <v>2</v>
      </c>
      <c r="C3" s="61">
        <v>5</v>
      </c>
      <c r="D3" s="60"/>
      <c r="E3" s="54">
        <v>29</v>
      </c>
      <c r="F3" s="61">
        <v>1</v>
      </c>
      <c r="G3" s="60"/>
      <c r="H3" s="54">
        <v>52</v>
      </c>
      <c r="I3" s="61">
        <v>6</v>
      </c>
      <c r="J3" s="60"/>
      <c r="K3" s="54">
        <v>74</v>
      </c>
      <c r="L3" s="52">
        <v>2</v>
      </c>
    </row>
    <row r="4" spans="1:12" x14ac:dyDescent="0.25">
      <c r="A4" s="60"/>
      <c r="B4" s="54">
        <v>3</v>
      </c>
      <c r="C4" s="61">
        <v>1</v>
      </c>
      <c r="D4" s="60"/>
      <c r="E4" s="54">
        <v>30</v>
      </c>
      <c r="F4" s="61">
        <v>11</v>
      </c>
      <c r="G4" s="60"/>
      <c r="H4" s="54">
        <v>53</v>
      </c>
      <c r="I4" s="61">
        <v>5</v>
      </c>
      <c r="J4" s="60"/>
      <c r="K4" s="54">
        <v>75</v>
      </c>
      <c r="L4" s="52">
        <v>8</v>
      </c>
    </row>
    <row r="5" spans="1:12" x14ac:dyDescent="0.25">
      <c r="A5" s="60"/>
      <c r="B5" s="54">
        <v>4</v>
      </c>
      <c r="C5" s="61">
        <v>3</v>
      </c>
      <c r="D5" s="60"/>
      <c r="E5" s="54">
        <v>31</v>
      </c>
      <c r="F5" s="61">
        <v>5</v>
      </c>
      <c r="G5" s="60"/>
      <c r="H5" s="54">
        <v>54</v>
      </c>
      <c r="I5" s="61">
        <v>1</v>
      </c>
      <c r="J5" s="60"/>
      <c r="K5" s="54">
        <v>76</v>
      </c>
      <c r="L5" s="52">
        <v>4</v>
      </c>
    </row>
    <row r="6" spans="1:12" x14ac:dyDescent="0.25">
      <c r="A6" s="60"/>
      <c r="B6" s="54">
        <v>5</v>
      </c>
      <c r="C6" s="61">
        <v>6</v>
      </c>
      <c r="D6" s="60"/>
      <c r="E6" s="54">
        <v>32</v>
      </c>
      <c r="F6" s="61">
        <v>2</v>
      </c>
      <c r="G6" s="60"/>
      <c r="H6" s="54">
        <v>55</v>
      </c>
      <c r="I6" s="61">
        <v>2</v>
      </c>
      <c r="J6" s="60"/>
      <c r="K6" s="54">
        <v>77</v>
      </c>
      <c r="L6" s="52">
        <v>5</v>
      </c>
    </row>
    <row r="7" spans="1:12" x14ac:dyDescent="0.25">
      <c r="A7" s="60"/>
      <c r="B7" s="54">
        <v>6</v>
      </c>
      <c r="C7" s="61">
        <v>10</v>
      </c>
      <c r="D7" s="60"/>
      <c r="E7" s="54">
        <v>33</v>
      </c>
      <c r="F7" s="61">
        <v>4</v>
      </c>
      <c r="G7" s="62"/>
      <c r="H7" s="54">
        <v>56</v>
      </c>
      <c r="I7" s="61">
        <v>3</v>
      </c>
      <c r="J7" s="60"/>
      <c r="K7" s="54">
        <v>78</v>
      </c>
      <c r="L7" s="52">
        <v>3</v>
      </c>
    </row>
    <row r="8" spans="1:12" x14ac:dyDescent="0.25">
      <c r="A8" s="60"/>
      <c r="B8" s="54">
        <v>7</v>
      </c>
      <c r="C8" s="61">
        <v>2</v>
      </c>
      <c r="D8" s="60"/>
      <c r="E8" s="54">
        <v>34</v>
      </c>
      <c r="F8" s="61">
        <v>3</v>
      </c>
      <c r="G8" s="56" t="s">
        <v>250</v>
      </c>
      <c r="H8" s="54">
        <v>57</v>
      </c>
      <c r="I8" s="61">
        <v>5</v>
      </c>
      <c r="J8" s="60"/>
      <c r="K8" s="54">
        <v>79</v>
      </c>
      <c r="L8" s="52">
        <v>6</v>
      </c>
    </row>
    <row r="9" spans="1:12" x14ac:dyDescent="0.25">
      <c r="A9" s="60"/>
      <c r="B9" s="54">
        <v>8</v>
      </c>
      <c r="C9" s="61">
        <v>4</v>
      </c>
      <c r="D9" s="60"/>
      <c r="E9" s="54">
        <v>35</v>
      </c>
      <c r="F9" s="61">
        <v>10</v>
      </c>
      <c r="G9" s="60"/>
      <c r="H9" s="54">
        <v>58</v>
      </c>
      <c r="I9" s="61">
        <v>6</v>
      </c>
      <c r="J9" s="62"/>
      <c r="K9" s="54">
        <v>80</v>
      </c>
      <c r="L9" s="52">
        <v>7</v>
      </c>
    </row>
    <row r="10" spans="1:12" x14ac:dyDescent="0.25">
      <c r="A10" s="60"/>
      <c r="B10" s="54">
        <v>9</v>
      </c>
      <c r="C10" s="61">
        <v>8</v>
      </c>
      <c r="D10" s="60"/>
      <c r="E10" s="54">
        <v>36</v>
      </c>
      <c r="F10" s="61">
        <v>8</v>
      </c>
      <c r="G10" s="60"/>
      <c r="H10" s="54">
        <v>59</v>
      </c>
      <c r="I10" s="52">
        <v>1</v>
      </c>
      <c r="J10" s="22"/>
      <c r="K10" s="22"/>
      <c r="L10" s="63"/>
    </row>
    <row r="11" spans="1:12" x14ac:dyDescent="0.25">
      <c r="A11" s="62"/>
      <c r="B11" s="54">
        <v>10</v>
      </c>
      <c r="C11" s="61">
        <v>9</v>
      </c>
      <c r="D11" s="60"/>
      <c r="E11" s="54">
        <v>37</v>
      </c>
      <c r="F11" s="61">
        <v>7</v>
      </c>
      <c r="G11" s="60"/>
      <c r="H11" s="54">
        <v>60</v>
      </c>
      <c r="I11" s="52">
        <v>4</v>
      </c>
      <c r="J11" s="22"/>
      <c r="K11" s="22"/>
      <c r="L11" s="63"/>
    </row>
    <row r="12" spans="1:12" x14ac:dyDescent="0.25">
      <c r="A12" s="56" t="s">
        <v>251</v>
      </c>
      <c r="B12" s="54">
        <v>11</v>
      </c>
      <c r="C12" s="61">
        <v>4</v>
      </c>
      <c r="D12" s="60"/>
      <c r="E12" s="54">
        <v>38</v>
      </c>
      <c r="F12" s="61">
        <v>6</v>
      </c>
      <c r="G12" s="60"/>
      <c r="H12" s="54">
        <v>61</v>
      </c>
      <c r="I12" s="52">
        <v>3</v>
      </c>
      <c r="J12" s="22"/>
      <c r="K12" s="22"/>
      <c r="L12" s="63"/>
    </row>
    <row r="13" spans="1:12" x14ac:dyDescent="0.25">
      <c r="A13" s="60"/>
      <c r="B13" s="54">
        <v>12</v>
      </c>
      <c r="C13" s="61">
        <v>9</v>
      </c>
      <c r="D13" s="58" t="s">
        <v>252</v>
      </c>
      <c r="E13" s="54">
        <v>39</v>
      </c>
      <c r="F13" s="61">
        <v>4</v>
      </c>
      <c r="G13" s="62"/>
      <c r="H13" s="54">
        <v>62</v>
      </c>
      <c r="I13" s="52">
        <v>2</v>
      </c>
      <c r="J13" s="22"/>
      <c r="K13" s="22"/>
      <c r="L13" s="63"/>
    </row>
    <row r="14" spans="1:12" x14ac:dyDescent="0.25">
      <c r="A14" s="60"/>
      <c r="B14" s="54">
        <v>13</v>
      </c>
      <c r="C14" s="61">
        <v>3</v>
      </c>
      <c r="D14" s="60"/>
      <c r="E14" s="54">
        <v>40</v>
      </c>
      <c r="F14" s="61">
        <v>8</v>
      </c>
      <c r="G14" s="56" t="s">
        <v>253</v>
      </c>
      <c r="H14" s="54">
        <v>63</v>
      </c>
      <c r="I14" s="52">
        <v>5</v>
      </c>
      <c r="J14" s="22"/>
      <c r="K14" s="22"/>
      <c r="L14" s="63"/>
    </row>
    <row r="15" spans="1:12" x14ac:dyDescent="0.25">
      <c r="A15" s="60"/>
      <c r="B15" s="54">
        <v>14</v>
      </c>
      <c r="C15" s="61">
        <v>5</v>
      </c>
      <c r="D15" s="60"/>
      <c r="E15" s="54">
        <v>41</v>
      </c>
      <c r="F15" s="61">
        <v>12</v>
      </c>
      <c r="G15" s="60"/>
      <c r="H15" s="54">
        <v>64</v>
      </c>
      <c r="I15" s="52">
        <v>9</v>
      </c>
      <c r="J15" s="22"/>
      <c r="K15" s="22"/>
      <c r="L15" s="63"/>
    </row>
    <row r="16" spans="1:12" x14ac:dyDescent="0.25">
      <c r="A16" s="60"/>
      <c r="B16" s="54">
        <v>15</v>
      </c>
      <c r="C16" s="61">
        <v>1</v>
      </c>
      <c r="D16" s="60"/>
      <c r="E16" s="54">
        <v>42</v>
      </c>
      <c r="F16" s="61">
        <v>10</v>
      </c>
      <c r="G16" s="60"/>
      <c r="H16" s="54">
        <v>65</v>
      </c>
      <c r="I16" s="52">
        <v>4</v>
      </c>
      <c r="J16" s="22"/>
      <c r="K16" s="22"/>
      <c r="L16" s="63"/>
    </row>
    <row r="17" spans="1:12" x14ac:dyDescent="0.25">
      <c r="A17" s="60"/>
      <c r="B17" s="54">
        <v>16</v>
      </c>
      <c r="C17" s="61">
        <v>6</v>
      </c>
      <c r="D17" s="60"/>
      <c r="E17" s="54">
        <v>43</v>
      </c>
      <c r="F17" s="61">
        <v>7</v>
      </c>
      <c r="G17" s="60"/>
      <c r="H17" s="54">
        <v>66</v>
      </c>
      <c r="I17" s="52">
        <v>2</v>
      </c>
      <c r="J17" s="22"/>
      <c r="K17" s="22"/>
      <c r="L17" s="63"/>
    </row>
    <row r="18" spans="1:12" x14ac:dyDescent="0.25">
      <c r="A18" s="60"/>
      <c r="B18" s="54">
        <v>17</v>
      </c>
      <c r="C18" s="61">
        <v>7</v>
      </c>
      <c r="D18" s="60"/>
      <c r="E18" s="54">
        <v>44</v>
      </c>
      <c r="F18" s="61">
        <v>9</v>
      </c>
      <c r="G18" s="60"/>
      <c r="H18" s="54">
        <v>67</v>
      </c>
      <c r="I18" s="52">
        <v>7</v>
      </c>
      <c r="J18" s="22"/>
      <c r="K18" s="22"/>
      <c r="L18" s="63"/>
    </row>
    <row r="19" spans="1:12" x14ac:dyDescent="0.25">
      <c r="A19" s="60"/>
      <c r="B19" s="54">
        <v>18</v>
      </c>
      <c r="C19" s="61">
        <v>8</v>
      </c>
      <c r="D19" s="60"/>
      <c r="E19" s="54">
        <v>45</v>
      </c>
      <c r="F19" s="61">
        <v>6</v>
      </c>
      <c r="G19" s="60"/>
      <c r="H19" s="54">
        <v>68</v>
      </c>
      <c r="I19" s="52">
        <v>1</v>
      </c>
      <c r="J19" s="22"/>
      <c r="K19" s="22"/>
      <c r="L19" s="63"/>
    </row>
    <row r="20" spans="1:12" x14ac:dyDescent="0.25">
      <c r="A20" s="60"/>
      <c r="B20" s="54">
        <v>19</v>
      </c>
      <c r="C20" s="61">
        <v>10</v>
      </c>
      <c r="D20" s="60"/>
      <c r="E20" s="54">
        <v>46</v>
      </c>
      <c r="F20" s="61">
        <v>5</v>
      </c>
      <c r="G20" s="60"/>
      <c r="H20" s="54">
        <v>69</v>
      </c>
      <c r="I20" s="52">
        <v>6</v>
      </c>
      <c r="J20" s="22"/>
      <c r="K20" s="22"/>
      <c r="L20" s="63"/>
    </row>
    <row r="21" spans="1:12" x14ac:dyDescent="0.25">
      <c r="A21" s="62"/>
      <c r="B21" s="54">
        <v>20</v>
      </c>
      <c r="C21" s="61">
        <v>2</v>
      </c>
      <c r="D21" s="60"/>
      <c r="E21" s="54">
        <v>47</v>
      </c>
      <c r="F21" s="61">
        <v>11</v>
      </c>
      <c r="G21" s="60"/>
      <c r="H21" s="55">
        <v>70</v>
      </c>
      <c r="I21" s="52">
        <v>8</v>
      </c>
      <c r="J21" s="22"/>
      <c r="K21" s="22"/>
      <c r="L21" s="63"/>
    </row>
    <row r="22" spans="1:12" x14ac:dyDescent="0.25">
      <c r="A22" s="56" t="s">
        <v>254</v>
      </c>
      <c r="B22" s="54">
        <v>21</v>
      </c>
      <c r="C22" s="61">
        <v>4</v>
      </c>
      <c r="D22" s="60"/>
      <c r="E22" s="54">
        <v>48</v>
      </c>
      <c r="F22" s="61">
        <v>3</v>
      </c>
      <c r="G22" s="60"/>
      <c r="H22" s="54">
        <v>71</v>
      </c>
      <c r="I22" s="54">
        <v>3</v>
      </c>
      <c r="J22" s="22"/>
      <c r="K22" s="22"/>
      <c r="L22" s="63"/>
    </row>
    <row r="23" spans="1:12" x14ac:dyDescent="0.25">
      <c r="A23" s="60"/>
      <c r="B23" s="54">
        <v>22</v>
      </c>
      <c r="C23" s="61">
        <v>6</v>
      </c>
      <c r="D23" s="60"/>
      <c r="E23" s="54">
        <v>49</v>
      </c>
      <c r="F23" s="61">
        <v>2</v>
      </c>
      <c r="G23" s="62"/>
      <c r="H23" s="59">
        <v>72</v>
      </c>
      <c r="I23" s="52">
        <v>10</v>
      </c>
      <c r="J23" s="22"/>
      <c r="K23" s="22"/>
      <c r="L23" s="63"/>
    </row>
    <row r="24" spans="1:12" x14ac:dyDescent="0.25">
      <c r="A24" s="60"/>
      <c r="B24" s="54">
        <v>23</v>
      </c>
      <c r="C24" s="61">
        <v>2</v>
      </c>
      <c r="D24" s="62"/>
      <c r="E24" s="54">
        <v>50</v>
      </c>
      <c r="F24" s="52">
        <v>1</v>
      </c>
      <c r="G24" s="22"/>
      <c r="H24" s="22"/>
      <c r="I24" s="22"/>
      <c r="J24" s="22"/>
      <c r="K24" s="22"/>
      <c r="L24" s="63"/>
    </row>
    <row r="25" spans="1:12" x14ac:dyDescent="0.25">
      <c r="A25" s="60"/>
      <c r="B25" s="54">
        <v>24</v>
      </c>
      <c r="C25" s="52">
        <v>5</v>
      </c>
      <c r="D25" s="22"/>
      <c r="E25" s="22"/>
      <c r="F25" s="22"/>
      <c r="G25" s="22"/>
      <c r="H25" s="22"/>
      <c r="I25" s="22"/>
      <c r="J25" s="22"/>
      <c r="K25" s="22"/>
      <c r="L25" s="63"/>
    </row>
    <row r="26" spans="1:12" x14ac:dyDescent="0.25">
      <c r="A26" s="60"/>
      <c r="B26" s="54">
        <v>25</v>
      </c>
      <c r="C26" s="52">
        <v>1</v>
      </c>
      <c r="D26" s="22"/>
      <c r="E26" s="22"/>
      <c r="F26" s="22"/>
      <c r="G26" s="22"/>
      <c r="H26" s="22"/>
      <c r="I26" s="22"/>
      <c r="J26" s="22"/>
      <c r="K26" s="22"/>
      <c r="L26" s="63"/>
    </row>
    <row r="27" spans="1:12" x14ac:dyDescent="0.25">
      <c r="A27" s="60"/>
      <c r="B27" s="54">
        <v>26</v>
      </c>
      <c r="C27" s="52">
        <v>7</v>
      </c>
      <c r="D27" s="22"/>
      <c r="E27" s="22"/>
      <c r="F27" s="22"/>
      <c r="G27" s="22"/>
      <c r="H27" s="22"/>
      <c r="I27" s="22"/>
      <c r="J27" s="22"/>
      <c r="K27" s="22"/>
      <c r="L27" s="63"/>
    </row>
    <row r="28" spans="1:12" x14ac:dyDescent="0.25">
      <c r="A28" s="62"/>
      <c r="B28" s="54">
        <v>27</v>
      </c>
      <c r="C28" s="52">
        <v>3</v>
      </c>
      <c r="D28" s="64"/>
      <c r="E28" s="64"/>
      <c r="F28" s="64"/>
      <c r="G28" s="64"/>
      <c r="H28" s="64"/>
      <c r="I28" s="64"/>
      <c r="J28" s="64"/>
      <c r="K28" s="64"/>
      <c r="L28" s="59"/>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8" t="s">
        <v>268</v>
      </c>
      <c r="B1" s="8" t="s">
        <v>269</v>
      </c>
    </row>
    <row r="2" spans="1:2" x14ac:dyDescent="0.25">
      <c r="A2" s="9" t="s">
        <v>270</v>
      </c>
      <c r="B2" s="9" t="s">
        <v>271</v>
      </c>
    </row>
    <row r="3" spans="1:2" x14ac:dyDescent="0.25">
      <c r="A3" s="9" t="s">
        <v>272</v>
      </c>
      <c r="B3" s="9" t="s">
        <v>271</v>
      </c>
    </row>
    <row r="4" spans="1:2" x14ac:dyDescent="0.25">
      <c r="A4" s="9" t="s">
        <v>273</v>
      </c>
      <c r="B4" s="9" t="s">
        <v>271</v>
      </c>
    </row>
    <row r="5" spans="1:2" x14ac:dyDescent="0.25">
      <c r="A5" s="9" t="s">
        <v>274</v>
      </c>
      <c r="B5" s="9" t="s">
        <v>271</v>
      </c>
    </row>
    <row r="6" spans="1:2" x14ac:dyDescent="0.25">
      <c r="A6" s="9" t="s">
        <v>275</v>
      </c>
      <c r="B6" s="9" t="s">
        <v>271</v>
      </c>
    </row>
    <row r="7" spans="1:2" x14ac:dyDescent="0.25">
      <c r="A7" s="9" t="s">
        <v>276</v>
      </c>
      <c r="B7" s="9" t="s">
        <v>271</v>
      </c>
    </row>
    <row r="8" spans="1:2" x14ac:dyDescent="0.25">
      <c r="A8" s="9" t="s">
        <v>277</v>
      </c>
      <c r="B8" s="9" t="s">
        <v>271</v>
      </c>
    </row>
    <row r="9" spans="1:2" x14ac:dyDescent="0.25">
      <c r="A9" s="9" t="s">
        <v>278</v>
      </c>
      <c r="B9" s="9" t="s">
        <v>271</v>
      </c>
    </row>
    <row r="10" spans="1:2" x14ac:dyDescent="0.25">
      <c r="A10" s="9" t="s">
        <v>279</v>
      </c>
      <c r="B10" s="9" t="s">
        <v>271</v>
      </c>
    </row>
    <row r="11" spans="1:2" x14ac:dyDescent="0.25">
      <c r="A11" s="9" t="s">
        <v>280</v>
      </c>
      <c r="B11" s="9" t="s">
        <v>271</v>
      </c>
    </row>
    <row r="12" spans="1:2" x14ac:dyDescent="0.25">
      <c r="A12" s="9" t="s">
        <v>281</v>
      </c>
      <c r="B12" s="9" t="s">
        <v>271</v>
      </c>
    </row>
    <row r="13" spans="1:2" x14ac:dyDescent="0.25">
      <c r="A13" s="9" t="s">
        <v>282</v>
      </c>
      <c r="B13" s="9" t="s">
        <v>271</v>
      </c>
    </row>
    <row r="14" spans="1:2" x14ac:dyDescent="0.25">
      <c r="A14" s="9" t="s">
        <v>283</v>
      </c>
      <c r="B14" s="9" t="s">
        <v>271</v>
      </c>
    </row>
    <row r="15" spans="1:2" x14ac:dyDescent="0.25">
      <c r="A15" s="9" t="s">
        <v>284</v>
      </c>
      <c r="B15" s="9" t="s">
        <v>271</v>
      </c>
    </row>
    <row r="16" spans="1:2" x14ac:dyDescent="0.25">
      <c r="A16" s="9" t="s">
        <v>285</v>
      </c>
      <c r="B16" s="9" t="s">
        <v>286</v>
      </c>
    </row>
    <row r="17" spans="1:2" x14ac:dyDescent="0.25">
      <c r="A17" s="9" t="s">
        <v>287</v>
      </c>
      <c r="B17" s="9" t="s">
        <v>286</v>
      </c>
    </row>
    <row r="18" spans="1:2" x14ac:dyDescent="0.25">
      <c r="A18" s="9" t="s">
        <v>288</v>
      </c>
      <c r="B18" s="9" t="s">
        <v>286</v>
      </c>
    </row>
    <row r="19" spans="1:2" x14ac:dyDescent="0.25">
      <c r="A19" s="9" t="s">
        <v>289</v>
      </c>
      <c r="B19" s="9" t="s">
        <v>286</v>
      </c>
    </row>
    <row r="20" spans="1:2" ht="15.75" thickBot="1" x14ac:dyDescent="0.3">
      <c r="A20" s="10" t="s">
        <v>290</v>
      </c>
      <c r="B20" s="10" t="s">
        <v>286</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 ds:uri="c01e712b-8f9b-4625-8219-31b20605feb3"/>
    <ds:schemaRef ds:uri="2b166a80-dccc-42cc-be33-87bca7e0d87c"/>
  </ds:schemaRefs>
</ds:datastoreItem>
</file>

<file path=customXml/itemProps2.xml><?xml version="1.0" encoding="utf-8"?>
<ds:datastoreItem xmlns:ds="http://schemas.openxmlformats.org/officeDocument/2006/customXml" ds:itemID="{B6570D26-28E5-4B10-84F9-A044851469F7}">
  <ds:schemaRefs>
    <ds:schemaRef ds:uri="http://schemas.microsoft.com/sharepoint/v3/contenttype/forms"/>
  </ds:schemaRefs>
</ds:datastoreItem>
</file>

<file path=customXml/itemProps3.xml><?xml version="1.0" encoding="utf-8"?>
<ds:datastoreItem xmlns:ds="http://schemas.openxmlformats.org/officeDocument/2006/customXml" ds:itemID="{0AAC0238-D15C-4B37-AA42-F7BBC8873F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additionalsamplingtab</vt:lpstr>
      <vt:lpstr>fatstageanchtab</vt:lpstr>
      <vt:lpstr>fatstagesarhtab</vt:lpstr>
      <vt:lpstr>acousticcattab</vt:lpstr>
      <vt:lpstr>transectpostab</vt:lpstr>
      <vt:lpstr>transectranktab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Zimmermann, Fabian</cp:lastModifiedBy>
  <cp:revision/>
  <dcterms:created xsi:type="dcterms:W3CDTF">2015-06-05T18:17:20Z</dcterms:created>
  <dcterms:modified xsi:type="dcterms:W3CDTF">2022-06-10T07:56:54Z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