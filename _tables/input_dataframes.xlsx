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Administrator\Documents\GitHub\SailingOrdersDFN\_tables\"/>
    </mc:Choice>
  </mc:AlternateContent>
  <xr:revisionPtr revIDLastSave="0" documentId="13_ncr:1_{AC2E237F-0EED-402C-A881-1C07BDDF0B77}" xr6:coauthVersionLast="47" xr6:coauthVersionMax="47" xr10:uidLastSave="{00000000-0000-0000-0000-000000000000}"/>
  <bookViews>
    <workbookView xWindow="-120" yWindow="-120" windowWidth="38640" windowHeight="21390" tabRatio="757" firstSheet="1" activeTab="9" xr2:uid="{00000000-000D-0000-FFFF-FFFF00000000}"/>
  </bookViews>
  <sheets>
    <sheet name="tab_captions" sheetId="14" r:id="rId1"/>
    <sheet name="fig_captions" sheetId="13" r:id="rId2"/>
    <sheet name="surveyplantab" sheetId="1" r:id="rId3"/>
    <sheet name="sciencethemestab" sheetId="15" r:id="rId4"/>
    <sheet name="reqparttab" sheetId="2" r:id="rId5"/>
    <sheet name="plannedparticipantstab" sheetId="3" r:id="rId6"/>
    <sheet name="equipmenttab" sheetId="23" r:id="rId7"/>
    <sheet name="datahandovertab" sheetId="5" r:id="rId8"/>
    <sheet name="biosamplingtab" sheetId="11" r:id="rId9"/>
    <sheet name="collectedsamplestab" sheetId="6" r:id="rId10"/>
    <sheet name="matstagetab" sheetId="10" r:id="rId11"/>
    <sheet name="additionalsamplingtab" sheetId="17" r:id="rId12"/>
    <sheet name="fatstageanchtab" sheetId="21" r:id="rId13"/>
    <sheet name="fatstagesarhtab" sheetId="22" r:id="rId14"/>
    <sheet name="acousticcattab" sheetId="18" r:id="rId15"/>
    <sheet name="transectpostab" sheetId="19" r:id="rId16"/>
    <sheet name="transectranktab" sheetId="20" r:id="rId17"/>
    <sheet name="taxonomytab" sheetId="16" r:id="rId18"/>
  </sheets>
  <definedNames>
    <definedName name="_xlnm._FilterDatabase" localSheetId="5" hidden="1">plannedparticipantstab!$A$1:$G$31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 i="2" l="1"/>
  <c r="K2" i="2"/>
  <c r="L2" i="2"/>
  <c r="F3" i="2"/>
  <c r="K3" i="2"/>
  <c r="L3" i="2"/>
  <c r="F4" i="2"/>
  <c r="K4" i="2"/>
  <c r="L4" i="2"/>
  <c r="F5" i="2"/>
  <c r="K5" i="2"/>
  <c r="L5" i="2"/>
  <c r="F6" i="2"/>
  <c r="K6" i="2"/>
  <c r="L6" i="2"/>
  <c r="F7" i="2"/>
  <c r="K7" i="2"/>
  <c r="L7" i="2" s="1"/>
  <c r="F8" i="2"/>
  <c r="K8" i="2"/>
  <c r="L8" i="2"/>
  <c r="F9" i="2"/>
  <c r="K9" i="2"/>
  <c r="L9" i="2"/>
  <c r="F10" i="2"/>
  <c r="K10" i="2"/>
  <c r="L10" i="2" s="1"/>
  <c r="M10" i="2" l="1"/>
</calcChain>
</file>

<file path=xl/sharedStrings.xml><?xml version="1.0" encoding="utf-8"?>
<sst xmlns="http://schemas.openxmlformats.org/spreadsheetml/2006/main" count="2936" uniqueCount="1531">
  <si>
    <t>tab.name</t>
  </si>
  <si>
    <t>caption</t>
  </si>
  <si>
    <t>surveyplantab</t>
  </si>
  <si>
    <t>Dates, port calls and duration of the survey off South-West Africa.</t>
  </si>
  <si>
    <t>reqparttab</t>
  </si>
  <si>
    <t>Main types of expertise required and number of participants (scientific team only).</t>
  </si>
  <si>
    <t>sciencethemestab</t>
  </si>
  <si>
    <t>Science Plan themes for which this survey is most relevant and associated projects.</t>
  </si>
  <si>
    <t>equipmenttab</t>
  </si>
  <si>
    <t>datahandovertab</t>
  </si>
  <si>
    <t xml:space="preserve">Data collected and overview of procedures for data hand-over to partners (all collected data will be stored at the IMR server). </t>
  </si>
  <si>
    <t>collectedsamplestab</t>
  </si>
  <si>
    <t>Samples to be collected, preservation and follow-up work.</t>
  </si>
  <si>
    <t>biosamplingtab</t>
  </si>
  <si>
    <t>Biological sampling envisioned for priority species as well as other species in the catch for Leg 4.1.</t>
  </si>
  <si>
    <t>plannedparticipantstab</t>
  </si>
  <si>
    <t>addsamplingtab</t>
  </si>
  <si>
    <t>taxonomytab</t>
  </si>
  <si>
    <t>acousticcattab</t>
  </si>
  <si>
    <t>transectpostab</t>
  </si>
  <si>
    <t>Survey Track positions for the June/July South African recruit survey.</t>
  </si>
  <si>
    <t>transectranktab</t>
  </si>
  <si>
    <t>Ranking of transects (order of priority within each stratum). Note: In the event of adverse weather or other unforeseen delays, the cruise leader/co-cruise leader is expected to remove transects as needed to ensure completion of the survey. It is important to assess the situation prior to the start of a stratum, and identify the need for removal of transects.</t>
  </si>
  <si>
    <t>matstagetab</t>
  </si>
  <si>
    <t>fatstageanchtab</t>
  </si>
  <si>
    <t>fatstagesarhtab</t>
  </si>
  <si>
    <t>fig.name</t>
  </si>
  <si>
    <t>surveyareamap</t>
  </si>
  <si>
    <t>scienceplan</t>
  </si>
  <si>
    <t>Main pillars and research themes of the EAF-Nansen Programme.</t>
  </si>
  <si>
    <t>catchsamplingworkflow</t>
  </si>
  <si>
    <t>Overview of sampling procedures in the fish laboratory.</t>
  </si>
  <si>
    <t>geneticsamplingprot</t>
  </si>
  <si>
    <t xml:space="preserve">Theme </t>
  </si>
  <si>
    <t>Project</t>
  </si>
  <si>
    <t>Focal point</t>
  </si>
  <si>
    <t>Theme 1</t>
  </si>
  <si>
    <t>Identification guide to ichthyoplankton in Southwest Africa</t>
  </si>
  <si>
    <t>Edoardo Mostarda (FAO), Stamatina Isari (IMR)</t>
  </si>
  <si>
    <t>Theme 2</t>
  </si>
  <si>
    <t>Nikolaos Nikolioudakis (IMR)</t>
  </si>
  <si>
    <t>Theme 3</t>
  </si>
  <si>
    <t>Bjørn Erik Axelsen (IMR)</t>
  </si>
  <si>
    <t>Survey Name</t>
  </si>
  <si>
    <t>Duration in days</t>
  </si>
  <si>
    <t>Departure</t>
  </si>
  <si>
    <t>Arrival</t>
  </si>
  <si>
    <t>Port of Departure</t>
  </si>
  <si>
    <t>Port of Arrival</t>
  </si>
  <si>
    <t>11/06/22</t>
  </si>
  <si>
    <t>12/07/22</t>
  </si>
  <si>
    <t>Walvis Bay</t>
  </si>
  <si>
    <t>Cape Town</t>
  </si>
  <si>
    <t>A: Walvis Bay to Cape Town</t>
  </si>
  <si>
    <t>26/06/22</t>
  </si>
  <si>
    <t>B: Cape Town to Cape Town</t>
  </si>
  <si>
    <t>Leg</t>
  </si>
  <si>
    <t>Position/laboratory</t>
  </si>
  <si>
    <t>Min personnel</t>
  </si>
  <si>
    <t>DFN core team</t>
  </si>
  <si>
    <t>DFN core team (IMR)</t>
  </si>
  <si>
    <t>DFN core team (non-IMR)</t>
  </si>
  <si>
    <t>Namibia</t>
  </si>
  <si>
    <t>Angola</t>
  </si>
  <si>
    <t>South Africa</t>
  </si>
  <si>
    <t>FAO/External experts</t>
  </si>
  <si>
    <t>Total non-IMR personnel</t>
  </si>
  <si>
    <t>Missing personnel</t>
  </si>
  <si>
    <t>Leg4.1</t>
  </si>
  <si>
    <t>Cruise leader</t>
  </si>
  <si>
    <t>Co-cruise leader</t>
  </si>
  <si>
    <t>Water chemistry</t>
  </si>
  <si>
    <t>Physical oceanography</t>
  </si>
  <si>
    <t>Plankton biology</t>
  </si>
  <si>
    <t>Fisheries biology / taxonomy</t>
  </si>
  <si>
    <t>Whale / Seabird observatory</t>
  </si>
  <si>
    <t>Instrument personnel</t>
  </si>
  <si>
    <t>Other (acoustics)</t>
  </si>
  <si>
    <t>LEG</t>
  </si>
  <si>
    <t>PARTICIPANT</t>
  </si>
  <si>
    <t>ROLE</t>
  </si>
  <si>
    <t>E-MAIL</t>
  </si>
  <si>
    <t>SEX</t>
  </si>
  <si>
    <t>AFFILIATION</t>
  </si>
  <si>
    <t>COUNTRY</t>
  </si>
  <si>
    <t>Bjørn-Erik Axelsen</t>
  </si>
  <si>
    <t>M</t>
  </si>
  <si>
    <t>IMR</t>
  </si>
  <si>
    <t>NORWAY</t>
  </si>
  <si>
    <t>Diana Zarea-Perez</t>
  </si>
  <si>
    <t>Fish Team Leader</t>
  </si>
  <si>
    <t>F</t>
  </si>
  <si>
    <t>SPAIN</t>
  </si>
  <si>
    <t>Tom Wiliams</t>
  </si>
  <si>
    <t>Jan Frode Wilhelmsen</t>
  </si>
  <si>
    <t>Chief Instruments Engineer</t>
  </si>
  <si>
    <t>jan.frode.wilhelmsen@hi.no</t>
  </si>
  <si>
    <t>Jostein Solhaug</t>
  </si>
  <si>
    <t>Instruments Engineer</t>
  </si>
  <si>
    <t>jostein.solhaug@imr.no</t>
  </si>
  <si>
    <t>Yonela Geja</t>
  </si>
  <si>
    <t>Fish team</t>
  </si>
  <si>
    <t>DFFE</t>
  </si>
  <si>
    <t>Johan Mhlongo</t>
  </si>
  <si>
    <t>Winston April</t>
  </si>
  <si>
    <t>Ashok Bali</t>
  </si>
  <si>
    <t>Gino Jarvis</t>
  </si>
  <si>
    <t>Nomzolisi Mxunyelwa</t>
  </si>
  <si>
    <t>INIP</t>
  </si>
  <si>
    <t>Janet Coetzee</t>
  </si>
  <si>
    <t>Co-Cruise leader</t>
  </si>
  <si>
    <t>Monique van Neel</t>
  </si>
  <si>
    <t>Dumisani Ntiyantiya</t>
  </si>
  <si>
    <t>Lennox Maliza</t>
  </si>
  <si>
    <t>Other (Acoustics)</t>
  </si>
  <si>
    <t>Jean Mciwigi</t>
  </si>
  <si>
    <t>Fannie Shabangu</t>
  </si>
  <si>
    <t>Carl van der Lingen</t>
  </si>
  <si>
    <t>Vumani Adonis</t>
  </si>
  <si>
    <t>Phytoplankton</t>
  </si>
  <si>
    <t>Mammals and seabirds</t>
  </si>
  <si>
    <t>Bathymetry</t>
  </si>
  <si>
    <t>Data types</t>
  </si>
  <si>
    <t>Data</t>
  </si>
  <si>
    <t>after the survey</t>
  </si>
  <si>
    <t>at the post survey meeting</t>
  </si>
  <si>
    <t>upon request</t>
  </si>
  <si>
    <t>not collected/stored</t>
  </si>
  <si>
    <t>analyzed by partner country</t>
  </si>
  <si>
    <t>analyzed through the Science Plan</t>
  </si>
  <si>
    <t>Acoustic data</t>
  </si>
  <si>
    <t>EK80 narrowband (CW)</t>
  </si>
  <si>
    <t>x</t>
  </si>
  <si>
    <t>EK80 broadband (FM)</t>
  </si>
  <si>
    <t>MS70</t>
  </si>
  <si>
    <t>ME70</t>
  </si>
  <si>
    <t>SU90</t>
  </si>
  <si>
    <t>SH90</t>
  </si>
  <si>
    <t>SBP300</t>
  </si>
  <si>
    <t>EM302</t>
  </si>
  <si>
    <t>EM710</t>
  </si>
  <si>
    <t>Physics</t>
  </si>
  <si>
    <t>CTD probe</t>
  </si>
  <si>
    <t>CTD Underway</t>
  </si>
  <si>
    <t>ADCP 75kHz</t>
  </si>
  <si>
    <t>ADCP 150kHz</t>
  </si>
  <si>
    <t>LADCP</t>
  </si>
  <si>
    <t>Thermosalinograph</t>
  </si>
  <si>
    <t>Nutrients</t>
  </si>
  <si>
    <t>pH</t>
  </si>
  <si>
    <t>Total alkalinity</t>
  </si>
  <si>
    <t>Biology</t>
  </si>
  <si>
    <t>Trawl catch data</t>
  </si>
  <si>
    <t>Zooplankton biomass</t>
  </si>
  <si>
    <t>Pollution</t>
  </si>
  <si>
    <t>Microplastics</t>
  </si>
  <si>
    <t>Observation platforms</t>
  </si>
  <si>
    <t>VAMS</t>
  </si>
  <si>
    <t>WBAT</t>
  </si>
  <si>
    <t>Nansis survey backup</t>
  </si>
  <si>
    <t>Species</t>
  </si>
  <si>
    <t>Catch (Weight / Numbers)</t>
  </si>
  <si>
    <t>Length frequency</t>
  </si>
  <si>
    <t>Wet body weight</t>
  </si>
  <si>
    <t>Sex &amp; Maturity</t>
  </si>
  <si>
    <t>Fat stage</t>
  </si>
  <si>
    <t>Otoliths</t>
  </si>
  <si>
    <t>Parasites</t>
  </si>
  <si>
    <t>Morphometrics</t>
  </si>
  <si>
    <t>Basic biology</t>
  </si>
  <si>
    <t>Genetics</t>
  </si>
  <si>
    <t>*Engraulis encrasicolus*</t>
  </si>
  <si>
    <t>*Etrumeus whiteheadi*</t>
  </si>
  <si>
    <t>*Lampanyctodes hectoris*</t>
  </si>
  <si>
    <t>*Maurolicus walvisensis*</t>
  </si>
  <si>
    <t>*Sardinops sagax*</t>
  </si>
  <si>
    <t>*Scomber japonicus*</t>
  </si>
  <si>
    <t>*Sufflogobius bibarbatus*</t>
  </si>
  <si>
    <t>*Trachurus capensis*</t>
  </si>
  <si>
    <t>Other mesopelagics</t>
  </si>
  <si>
    <t>Jellyfish</t>
  </si>
  <si>
    <t>All remaining species caught</t>
  </si>
  <si>
    <t>Gear/equipment</t>
  </si>
  <si>
    <t>Analysis</t>
  </si>
  <si>
    <t>Samples</t>
  </si>
  <si>
    <t>Preservation</t>
  </si>
  <si>
    <t xml:space="preserve">Amount of chemicals for preservation </t>
  </si>
  <si>
    <t>Port of offloading</t>
  </si>
  <si>
    <t>Type of transportation</t>
  </si>
  <si>
    <t>Institution address</t>
  </si>
  <si>
    <t>Contact details Leg 4.1(name, email, phone no)</t>
  </si>
  <si>
    <t>Deadline for analysis</t>
  </si>
  <si>
    <t>Data and sampling types for future usage and reference</t>
  </si>
  <si>
    <t>CUFES samples</t>
  </si>
  <si>
    <t xml:space="preserve">Bottles (250 mL) </t>
  </si>
  <si>
    <t>5% formaldehyde solution</t>
  </si>
  <si>
    <t>10 Lt  37% formaldehyde solution</t>
  </si>
  <si>
    <t>Trawl samples</t>
  </si>
  <si>
    <t>otoliths from sardine, anchovy and round herring for age determination studies.</t>
  </si>
  <si>
    <t>Frozen</t>
  </si>
  <si>
    <t>sardine (both juveniles and adults) for an analysis of infection by a “tetracotyle” type digenean parasite.</t>
  </si>
  <si>
    <t>Whole fish</t>
  </si>
  <si>
    <t>round herring for monitoring of microplastic pollution in the SA marine pelagos.</t>
  </si>
  <si>
    <t>Frozen (&gt;20 cm length)</t>
  </si>
  <si>
    <t>sardine, anchovy and round herring for assessment of their anthropogenic pollutant (herbicides, pharmaceuticals) levels.</t>
  </si>
  <si>
    <t xml:space="preserve">Frozen </t>
  </si>
  <si>
    <t>chub mackerel for collection of meristic information for stock/species identification.</t>
  </si>
  <si>
    <t>Road</t>
  </si>
  <si>
    <t>Hector’s lanternfish and lightfish for basic biology studies.</t>
  </si>
  <si>
    <t>uncommon and/or unidentified mesopelagic fish species for basic biology studies.</t>
  </si>
  <si>
    <t>pelagic gobies for basic biology studies.</t>
  </si>
  <si>
    <t>Stage</t>
  </si>
  <si>
    <t>State</t>
  </si>
  <si>
    <t>Males</t>
  </si>
  <si>
    <t>Females</t>
  </si>
  <si>
    <t>I</t>
  </si>
  <si>
    <t>Immature</t>
  </si>
  <si>
    <t>Gonads very small, flat lappets close to fish’s anus, greyish or pink to transparent, depending on species.</t>
  </si>
  <si>
    <t xml:space="preserve">Gonads very thin with a reddish colour. </t>
  </si>
  <si>
    <t>II</t>
  </si>
  <si>
    <t>Inactive/maturing</t>
  </si>
  <si>
    <t>Gonads still small and flat but a little longer and whitish in colour.</t>
  </si>
  <si>
    <t>III</t>
  </si>
  <si>
    <t>Active</t>
  </si>
  <si>
    <t>Gonads opaque white</t>
  </si>
  <si>
    <t>Minute ova visible; gonads &gt;1/2 body length</t>
  </si>
  <si>
    <t>IV</t>
  </si>
  <si>
    <t>Active/ripening</t>
  </si>
  <si>
    <t>Milkiness apparent at posterior end of gonad.</t>
  </si>
  <si>
    <t>Gonads opaque yellow, vascular, ova discrete at posterior end.</t>
  </si>
  <si>
    <t>V</t>
  </si>
  <si>
    <t>Ripe</t>
  </si>
  <si>
    <t>Gonads almost fill body cavity; opaque white; posterior half milky.</t>
  </si>
  <si>
    <t>Gonads darker yellow, semi-transparent and almost fill body cavity; ova evenly dispersed throughout gonad.</t>
  </si>
  <si>
    <t>VI</t>
  </si>
  <si>
    <t>Ripe/running</t>
  </si>
  <si>
    <t>Release milt when belly pressed.</t>
  </si>
  <si>
    <t>Release eggs when belly pressed.</t>
  </si>
  <si>
    <t>VII</t>
  </si>
  <si>
    <t>Spent</t>
  </si>
  <si>
    <t>Gonads elongated, flat, strap-like and bloodshot.</t>
  </si>
  <si>
    <t>Gonads very bloodshot, sometimes gelatinous.</t>
  </si>
  <si>
    <t>Description</t>
  </si>
  <si>
    <t>No fat string associated with intestine or fat string barely visible</t>
  </si>
  <si>
    <t>Fat string visible, thickness less than that of intestine</t>
  </si>
  <si>
    <t>Fat string thickness approximately equal to intestine width</t>
  </si>
  <si>
    <t>Fat string thickness greater than intestine, but intestine partially visible</t>
  </si>
  <si>
    <t>Intestine completely covered by fat string</t>
  </si>
  <si>
    <t>Fat lines invisible or thin and indistinct</t>
  </si>
  <si>
    <t>Depth greater than width of one or more fat lines</t>
  </si>
  <si>
    <t>Pyloric fat line noticeably thicker than the other fat lines, and about one-third the thickness of the pyloric junction</t>
  </si>
  <si>
    <t>Depth greater than width for all fat lines but no fat lobes present</t>
  </si>
  <si>
    <t>All fat lines slightly lobed, but no overlap between lobes</t>
  </si>
  <si>
    <t>Fat line lobes obvious and show some overlap</t>
  </si>
  <si>
    <t>Fat line lobes large, lots of overlap, and fundulus well-covered with fat</t>
  </si>
  <si>
    <t>Acoustic category</t>
  </si>
  <si>
    <t>Group</t>
  </si>
  <si>
    <t>Taxon</t>
  </si>
  <si>
    <t>SARD </t>
  </si>
  <si>
    <t>Sardinella </t>
  </si>
  <si>
    <t>HMACK </t>
  </si>
  <si>
    <t>Horse mackerel </t>
  </si>
  <si>
    <t>MACKE </t>
  </si>
  <si>
    <t>Mackerel </t>
  </si>
  <si>
    <t>PILCH</t>
  </si>
  <si>
    <t>Scombridae </t>
  </si>
  <si>
    <t>Sphyraenidae </t>
  </si>
  <si>
    <t>Trichiuridae</t>
  </si>
  <si>
    <t>BOTT </t>
  </si>
  <si>
    <t>Demersal species</t>
  </si>
  <si>
    <t>Sparidae^[Main taxa group]</t>
  </si>
  <si>
    <t>Other taxa </t>
  </si>
  <si>
    <t>PLANK </t>
  </si>
  <si>
    <t>Plankton </t>
  </si>
  <si>
    <t>Plankton, Euphausiids</t>
  </si>
  <si>
    <t>Latitude °</t>
  </si>
  <si>
    <t>Latitude Minutes</t>
  </si>
  <si>
    <t>Longitude °</t>
  </si>
  <si>
    <t>Longitude Minutes</t>
  </si>
  <si>
    <t>Latitude Decimalized °</t>
  </si>
  <si>
    <t>Longitude Decimalized °</t>
  </si>
  <si>
    <t>Transect numbers</t>
  </si>
  <si>
    <t>-28</t>
  </si>
  <si>
    <t>38.445</t>
  </si>
  <si>
    <t>16</t>
  </si>
  <si>
    <t>26.61</t>
  </si>
  <si>
    <t>-28.641</t>
  </si>
  <si>
    <t>16.443</t>
  </si>
  <si>
    <t>Inshore</t>
  </si>
  <si>
    <t>Waypoint (Boundary line Orange River)</t>
  </si>
  <si>
    <t>44.04</t>
  </si>
  <si>
    <t>33.368</t>
  </si>
  <si>
    <t>-28.734</t>
  </si>
  <si>
    <t>16.556</t>
  </si>
  <si>
    <t>Waypoint</t>
  </si>
  <si>
    <t>52.431</t>
  </si>
  <si>
    <t>35.233</t>
  </si>
  <si>
    <t>-28.874</t>
  </si>
  <si>
    <t>16.587</t>
  </si>
  <si>
    <t>Transect 1</t>
  </si>
  <si>
    <t>-29</t>
  </si>
  <si>
    <t>2.454</t>
  </si>
  <si>
    <t>15.19</t>
  </si>
  <si>
    <t>-29.041</t>
  </si>
  <si>
    <t>16.253</t>
  </si>
  <si>
    <t>Offshore</t>
  </si>
  <si>
    <t>7.581</t>
  </si>
  <si>
    <t>18.219</t>
  </si>
  <si>
    <t>-29.126</t>
  </si>
  <si>
    <t>16.304</t>
  </si>
  <si>
    <t>Transect 2</t>
  </si>
  <si>
    <t>56.16</t>
  </si>
  <si>
    <t>40.36</t>
  </si>
  <si>
    <t>-28.936</t>
  </si>
  <si>
    <t>16.673</t>
  </si>
  <si>
    <t>1.288</t>
  </si>
  <si>
    <t>42.225</t>
  </si>
  <si>
    <t>-29.021</t>
  </si>
  <si>
    <t>16.704</t>
  </si>
  <si>
    <t>6.183</t>
  </si>
  <si>
    <t>48.051</t>
  </si>
  <si>
    <t>-29.103</t>
  </si>
  <si>
    <t>16.801</t>
  </si>
  <si>
    <t>Transect 3</t>
  </si>
  <si>
    <t>18.07</t>
  </si>
  <si>
    <t>24.512</t>
  </si>
  <si>
    <t>-29.301</t>
  </si>
  <si>
    <t>16.409</t>
  </si>
  <si>
    <t>22.732</t>
  </si>
  <si>
    <t>26.843</t>
  </si>
  <si>
    <t>-29.379</t>
  </si>
  <si>
    <t>16.447</t>
  </si>
  <si>
    <t>Transect 4</t>
  </si>
  <si>
    <t>11.544</t>
  </si>
  <si>
    <t>48.75</t>
  </si>
  <si>
    <t>-29.192</t>
  </si>
  <si>
    <t>16.813</t>
  </si>
  <si>
    <t>15.04</t>
  </si>
  <si>
    <t>49.449</t>
  </si>
  <si>
    <t>-29.251</t>
  </si>
  <si>
    <t>16.824</t>
  </si>
  <si>
    <t>20.168</t>
  </si>
  <si>
    <t>53.644</t>
  </si>
  <si>
    <t>-29.336</t>
  </si>
  <si>
    <t>16.894</t>
  </si>
  <si>
    <t>Transect 5</t>
  </si>
  <si>
    <t>31.356</t>
  </si>
  <si>
    <t>31.271</t>
  </si>
  <si>
    <t>-29.523</t>
  </si>
  <si>
    <t>16.521</t>
  </si>
  <si>
    <t>38.582</t>
  </si>
  <si>
    <t>34.301</t>
  </si>
  <si>
    <t>-29.643</t>
  </si>
  <si>
    <t>16.572</t>
  </si>
  <si>
    <t>Transect 6</t>
  </si>
  <si>
    <t>26.928</t>
  </si>
  <si>
    <t>57.84</t>
  </si>
  <si>
    <t>-29.449</t>
  </si>
  <si>
    <t>16.964</t>
  </si>
  <si>
    <t>32.755</t>
  </si>
  <si>
    <t>59.238</t>
  </si>
  <si>
    <t>-29.546</t>
  </si>
  <si>
    <t>16.987</t>
  </si>
  <si>
    <t>35.319</t>
  </si>
  <si>
    <t>-29.589</t>
  </si>
  <si>
    <t>35.785</t>
  </si>
  <si>
    <t>17</t>
  </si>
  <si>
    <t>1.802</t>
  </si>
  <si>
    <t>-29.596</t>
  </si>
  <si>
    <t>17.03</t>
  </si>
  <si>
    <t>Transect 7</t>
  </si>
  <si>
    <t>47.439</t>
  </si>
  <si>
    <t>37.796</t>
  </si>
  <si>
    <t>-29.791</t>
  </si>
  <si>
    <t>16.63</t>
  </si>
  <si>
    <t>51.169</t>
  </si>
  <si>
    <t>40.127</t>
  </si>
  <si>
    <t>-29.853</t>
  </si>
  <si>
    <t>16.669</t>
  </si>
  <si>
    <t>Transect 8</t>
  </si>
  <si>
    <t>40.214</t>
  </si>
  <si>
    <t>1.335</t>
  </si>
  <si>
    <t>-29.67</t>
  </si>
  <si>
    <t>17.022</t>
  </si>
  <si>
    <t>46.74</t>
  </si>
  <si>
    <t>3.2</t>
  </si>
  <si>
    <t>-29.779</t>
  </si>
  <si>
    <t>17.053</t>
  </si>
  <si>
    <t>54.665</t>
  </si>
  <si>
    <t>6.23</t>
  </si>
  <si>
    <t>-29.911</t>
  </si>
  <si>
    <t>17.104</t>
  </si>
  <si>
    <t>Transect 9</t>
  </si>
  <si>
    <t>-30</t>
  </si>
  <si>
    <t>6.786</t>
  </si>
  <si>
    <t>42.691</t>
  </si>
  <si>
    <t>-30.113</t>
  </si>
  <si>
    <t>16.712</t>
  </si>
  <si>
    <t>16.575</t>
  </si>
  <si>
    <t>47.352</t>
  </si>
  <si>
    <t>-30.276</t>
  </si>
  <si>
    <t>16.789</t>
  </si>
  <si>
    <t>Transect 10</t>
  </si>
  <si>
    <t>5.154</t>
  </si>
  <si>
    <t>9.959</t>
  </si>
  <si>
    <t>-30.086</t>
  </si>
  <si>
    <t>17.166</t>
  </si>
  <si>
    <t>8.184</t>
  </si>
  <si>
    <t>10.658</t>
  </si>
  <si>
    <t>-30.136</t>
  </si>
  <si>
    <t>17.178</t>
  </si>
  <si>
    <t>14.012</t>
  </si>
  <si>
    <t>13.688</t>
  </si>
  <si>
    <t>-30.234</t>
  </si>
  <si>
    <t>17.228</t>
  </si>
  <si>
    <t>Waypoint (Boundary  line Hondeklip Bay)</t>
  </si>
  <si>
    <t>20.072</t>
  </si>
  <si>
    <t>15.552</t>
  </si>
  <si>
    <t>-30.335</t>
  </si>
  <si>
    <t>17.259</t>
  </si>
  <si>
    <t>24.734</t>
  </si>
  <si>
    <t>17.883</t>
  </si>
  <si>
    <t>-30.412</t>
  </si>
  <si>
    <t>17.298</t>
  </si>
  <si>
    <t>Transect 11</t>
  </si>
  <si>
    <t>37.787</t>
  </si>
  <si>
    <t>52.479</t>
  </si>
  <si>
    <t>-30.63</t>
  </si>
  <si>
    <t>16.875</t>
  </si>
  <si>
    <t>41.516</t>
  </si>
  <si>
    <t>54.111</t>
  </si>
  <si>
    <t>-30.692</t>
  </si>
  <si>
    <t>16.902</t>
  </si>
  <si>
    <t>Transect 12</t>
  </si>
  <si>
    <t>27.997</t>
  </si>
  <si>
    <t>19.98</t>
  </si>
  <si>
    <t>-30.467</t>
  </si>
  <si>
    <t>17.333</t>
  </si>
  <si>
    <t>36.621</t>
  </si>
  <si>
    <t>26.04</t>
  </si>
  <si>
    <t>-30.61</t>
  </si>
  <si>
    <t>17.434</t>
  </si>
  <si>
    <t>Transect 13</t>
  </si>
  <si>
    <t>49.441</t>
  </si>
  <si>
    <t>0.636</t>
  </si>
  <si>
    <t>-30.824</t>
  </si>
  <si>
    <t>17.011</t>
  </si>
  <si>
    <t>57.832</t>
  </si>
  <si>
    <t>5.531</t>
  </si>
  <si>
    <t>-30.964</t>
  </si>
  <si>
    <t>17.092</t>
  </si>
  <si>
    <t>Transect 14</t>
  </si>
  <si>
    <t>45.245</t>
  </si>
  <si>
    <t>30.934</t>
  </si>
  <si>
    <t>-30.754</t>
  </si>
  <si>
    <t>17.516</t>
  </si>
  <si>
    <t>50.839</t>
  </si>
  <si>
    <t>33.265</t>
  </si>
  <si>
    <t>-30.847</t>
  </si>
  <si>
    <t>17.554</t>
  </si>
  <si>
    <t>57.599</t>
  </si>
  <si>
    <t>37.693</t>
  </si>
  <si>
    <t>-30.96</t>
  </si>
  <si>
    <t>17.628</t>
  </si>
  <si>
    <t>-31</t>
  </si>
  <si>
    <t>1.561</t>
  </si>
  <si>
    <t>41.189</t>
  </si>
  <si>
    <t>-31.026</t>
  </si>
  <si>
    <t>17.686</t>
  </si>
  <si>
    <t>Transect 15</t>
  </si>
  <si>
    <t>14.614</t>
  </si>
  <si>
    <t>-31.244</t>
  </si>
  <si>
    <t>26.968</t>
  </si>
  <si>
    <t>21.845</t>
  </si>
  <si>
    <t>-31.449</t>
  </si>
  <si>
    <t>17.364</t>
  </si>
  <si>
    <t>Transect 16</t>
  </si>
  <si>
    <t>13.449</t>
  </si>
  <si>
    <t>48.414</t>
  </si>
  <si>
    <t>-31.224</t>
  </si>
  <si>
    <t>17.807</t>
  </si>
  <si>
    <t>16.945</t>
  </si>
  <si>
    <t>52.142</t>
  </si>
  <si>
    <t>-31.282</t>
  </si>
  <si>
    <t>17.869</t>
  </si>
  <si>
    <t>19.742</t>
  </si>
  <si>
    <t>52.609</t>
  </si>
  <si>
    <t>-31.329</t>
  </si>
  <si>
    <t>17.877</t>
  </si>
  <si>
    <t>22.306</t>
  </si>
  <si>
    <t>54.007</t>
  </si>
  <si>
    <t>-31.372</t>
  </si>
  <si>
    <t>17.9</t>
  </si>
  <si>
    <t>Transect 17</t>
  </si>
  <si>
    <t>39.322</t>
  </si>
  <si>
    <t>19.747</t>
  </si>
  <si>
    <t>-31.655</t>
  </si>
  <si>
    <t>17.329</t>
  </si>
  <si>
    <t>47.014</t>
  </si>
  <si>
    <t>23.709</t>
  </si>
  <si>
    <t>-31.784</t>
  </si>
  <si>
    <t>17.395</t>
  </si>
  <si>
    <t>Transect 18</t>
  </si>
  <si>
    <t>28.833</t>
  </si>
  <si>
    <t>59.6</t>
  </si>
  <si>
    <t>-31.481</t>
  </si>
  <si>
    <t>17.993</t>
  </si>
  <si>
    <t>33.961</t>
  </si>
  <si>
    <t>18</t>
  </si>
  <si>
    <t>5.893</t>
  </si>
  <si>
    <t>-31.566</t>
  </si>
  <si>
    <t>18.098</t>
  </si>
  <si>
    <t>36.525</t>
  </si>
  <si>
    <t>6.592</t>
  </si>
  <si>
    <t>-31.609</t>
  </si>
  <si>
    <t>18.11</t>
  </si>
  <si>
    <t>Transect 19</t>
  </si>
  <si>
    <t>54.706</t>
  </si>
  <si>
    <t>30.235</t>
  </si>
  <si>
    <t>-31.912</t>
  </si>
  <si>
    <t>17.504</t>
  </si>
  <si>
    <t>-32</t>
  </si>
  <si>
    <t>0.766</t>
  </si>
  <si>
    <t>34.197</t>
  </si>
  <si>
    <t>-32.013</t>
  </si>
  <si>
    <t>17.57</t>
  </si>
  <si>
    <t>Transect 20</t>
  </si>
  <si>
    <t>42.119</t>
  </si>
  <si>
    <t>10.088</t>
  </si>
  <si>
    <t>-31.702</t>
  </si>
  <si>
    <t>18.168</t>
  </si>
  <si>
    <t>48.878</t>
  </si>
  <si>
    <t>13.351</t>
  </si>
  <si>
    <t>-31.815</t>
  </si>
  <si>
    <t>18.223</t>
  </si>
  <si>
    <t>Waypoint (Boundary line Doring Bay)</t>
  </si>
  <si>
    <t>14.982</t>
  </si>
  <si>
    <t>-31.869</t>
  </si>
  <si>
    <t>18.25</t>
  </si>
  <si>
    <t>Transect 21</t>
  </si>
  <si>
    <t>9.856</t>
  </si>
  <si>
    <t>40.956</t>
  </si>
  <si>
    <t>-32.164</t>
  </si>
  <si>
    <t>17.683</t>
  </si>
  <si>
    <t>13.819</t>
  </si>
  <si>
    <t>43.519</t>
  </si>
  <si>
    <t>-32.23</t>
  </si>
  <si>
    <t>17.725</t>
  </si>
  <si>
    <t>Transect 22</t>
  </si>
  <si>
    <t>57.969</t>
  </si>
  <si>
    <t>15.915</t>
  </si>
  <si>
    <t>-31.966</t>
  </si>
  <si>
    <t>18.265</t>
  </si>
  <si>
    <t>2.397</t>
  </si>
  <si>
    <t>17.779</t>
  </si>
  <si>
    <t>-32.04</t>
  </si>
  <si>
    <t>18.296</t>
  </si>
  <si>
    <t>Transect 23</t>
  </si>
  <si>
    <t>25.24</t>
  </si>
  <si>
    <t>32.799</t>
  </si>
  <si>
    <t>-32.421</t>
  </si>
  <si>
    <t>17.547</t>
  </si>
  <si>
    <t>28.969</t>
  </si>
  <si>
    <t>-32.483</t>
  </si>
  <si>
    <t>Transect 24</t>
  </si>
  <si>
    <t>6.593</t>
  </si>
  <si>
    <t>17.546</t>
  </si>
  <si>
    <t>-32.11</t>
  </si>
  <si>
    <t>18.292</t>
  </si>
  <si>
    <t>13.586</t>
  </si>
  <si>
    <t>18.711</t>
  </si>
  <si>
    <t>-32.226</t>
  </si>
  <si>
    <t>18.312</t>
  </si>
  <si>
    <t>Transect 25</t>
  </si>
  <si>
    <t>38.06</t>
  </si>
  <si>
    <t>30.002</t>
  </si>
  <si>
    <t>-32.634</t>
  </si>
  <si>
    <t>17.5</t>
  </si>
  <si>
    <t>42.022</t>
  </si>
  <si>
    <t>31.4</t>
  </si>
  <si>
    <t>-32.7</t>
  </si>
  <si>
    <t>17.523</t>
  </si>
  <si>
    <t>Transect 26</t>
  </si>
  <si>
    <t>17.315</t>
  </si>
  <si>
    <t>20.11</t>
  </si>
  <si>
    <t>-32.289</t>
  </si>
  <si>
    <t>18.335</t>
  </si>
  <si>
    <t>20.112</t>
  </si>
  <si>
    <t>18.012</t>
  </si>
  <si>
    <t>-32.335</t>
  </si>
  <si>
    <t>18.3</t>
  </si>
  <si>
    <t>28.503</t>
  </si>
  <si>
    <t>19.644</t>
  </si>
  <si>
    <t>-32.475</t>
  </si>
  <si>
    <t>18.327</t>
  </si>
  <si>
    <t>Transect 27</t>
  </si>
  <si>
    <t>55.075</t>
  </si>
  <si>
    <t>27.438</t>
  </si>
  <si>
    <t>-32.918</t>
  </si>
  <si>
    <t>17.457</t>
  </si>
  <si>
    <t>-33</t>
  </si>
  <si>
    <t>4.166</t>
  </si>
  <si>
    <t>32.099</t>
  </si>
  <si>
    <t>-33.069</t>
  </si>
  <si>
    <t>17.535</t>
  </si>
  <si>
    <t>Transect 28</t>
  </si>
  <si>
    <t>54.842</t>
  </si>
  <si>
    <t>50.744</t>
  </si>
  <si>
    <t>-32.914</t>
  </si>
  <si>
    <t>17.846</t>
  </si>
  <si>
    <t>0.436</t>
  </si>
  <si>
    <t>51.676</t>
  </si>
  <si>
    <t>-33.007</t>
  </si>
  <si>
    <t>17.861</t>
  </si>
  <si>
    <t>4.632</t>
  </si>
  <si>
    <t>55.405</t>
  </si>
  <si>
    <t>-33.077</t>
  </si>
  <si>
    <t>17.923</t>
  </si>
  <si>
    <t>Transect 29</t>
  </si>
  <si>
    <t>15.354</t>
  </si>
  <si>
    <t>-33.256</t>
  </si>
  <si>
    <t>23.046</t>
  </si>
  <si>
    <t>38.625</t>
  </si>
  <si>
    <t>-33.384</t>
  </si>
  <si>
    <t>17.644</t>
  </si>
  <si>
    <t>Transect 30</t>
  </si>
  <si>
    <t>11.625</t>
  </si>
  <si>
    <t>-33.194</t>
  </si>
  <si>
    <t>18.04</t>
  </si>
  <si>
    <t>19.55</t>
  </si>
  <si>
    <t>7.757</t>
  </si>
  <si>
    <t>-33.326</t>
  </si>
  <si>
    <t>18.129</t>
  </si>
  <si>
    <t>Transect 31</t>
  </si>
  <si>
    <t>31.903</t>
  </si>
  <si>
    <t>-33.532</t>
  </si>
  <si>
    <t>37.497</t>
  </si>
  <si>
    <t>46.782</t>
  </si>
  <si>
    <t>-33.625</t>
  </si>
  <si>
    <t>17.78</t>
  </si>
  <si>
    <t>Transect 32</t>
  </si>
  <si>
    <t>25.144</t>
  </si>
  <si>
    <t>12.885</t>
  </si>
  <si>
    <t>-33.419</t>
  </si>
  <si>
    <t>18.215</t>
  </si>
  <si>
    <t>30.505</t>
  </si>
  <si>
    <t>18.478</t>
  </si>
  <si>
    <t>-33.508</t>
  </si>
  <si>
    <t>18.308</t>
  </si>
  <si>
    <t>34.234</t>
  </si>
  <si>
    <t>-33.571</t>
  </si>
  <si>
    <t>39.362</t>
  </si>
  <si>
    <t>23.839</t>
  </si>
  <si>
    <t>-33.656</t>
  </si>
  <si>
    <t>18.397</t>
  </si>
  <si>
    <t>Transect 33</t>
  </si>
  <si>
    <t>52.415</t>
  </si>
  <si>
    <t>56.571</t>
  </si>
  <si>
    <t>-33.874</t>
  </si>
  <si>
    <t>17.943</t>
  </si>
  <si>
    <t>55.911</t>
  </si>
  <si>
    <t>58.435</t>
  </si>
  <si>
    <t>-33.932</t>
  </si>
  <si>
    <t>17.974</t>
  </si>
  <si>
    <t>Transect 34</t>
  </si>
  <si>
    <t>42.858</t>
  </si>
  <si>
    <t>25.237</t>
  </si>
  <si>
    <t>-33.714</t>
  </si>
  <si>
    <t>18.421</t>
  </si>
  <si>
    <t>46.355</t>
  </si>
  <si>
    <t>25.47</t>
  </si>
  <si>
    <t>-33.773</t>
  </si>
  <si>
    <t>18.425</t>
  </si>
  <si>
    <t>50.783</t>
  </si>
  <si>
    <t>28.034</t>
  </si>
  <si>
    <t>-33.846</t>
  </si>
  <si>
    <t>18.467</t>
  </si>
  <si>
    <t>Transect 35</t>
  </si>
  <si>
    <t>-34</t>
  </si>
  <si>
    <t>6.866</t>
  </si>
  <si>
    <t>56.105</t>
  </si>
  <si>
    <t>-34.114</t>
  </si>
  <si>
    <t>17.935</t>
  </si>
  <si>
    <t>12.694</t>
  </si>
  <si>
    <t>57.27</t>
  </si>
  <si>
    <t>-34.212</t>
  </si>
  <si>
    <t>17.954</t>
  </si>
  <si>
    <t>Transect 36</t>
  </si>
  <si>
    <t>2.205</t>
  </si>
  <si>
    <t>-34.037</t>
  </si>
  <si>
    <t>6.4</t>
  </si>
  <si>
    <t>19.877</t>
  </si>
  <si>
    <t>-34.107</t>
  </si>
  <si>
    <t>18.331</t>
  </si>
  <si>
    <t>Transect 37</t>
  </si>
  <si>
    <t>15.258</t>
  </si>
  <si>
    <t>0.999</t>
  </si>
  <si>
    <t>-34.254</t>
  </si>
  <si>
    <t>18.017</t>
  </si>
  <si>
    <t>23.882</t>
  </si>
  <si>
    <t>4.262</t>
  </si>
  <si>
    <t>-34.398</t>
  </si>
  <si>
    <t>18.071</t>
  </si>
  <si>
    <t>Transect 38</t>
  </si>
  <si>
    <t>15.724</t>
  </si>
  <si>
    <t>21.741</t>
  </si>
  <si>
    <t>-34.262</t>
  </si>
  <si>
    <t>18.362</t>
  </si>
  <si>
    <t>19.686</t>
  </si>
  <si>
    <t>23.606</t>
  </si>
  <si>
    <t>-34.328</t>
  </si>
  <si>
    <t>18.393</t>
  </si>
  <si>
    <t>23.183</t>
  </si>
  <si>
    <t>27.801</t>
  </si>
  <si>
    <t>-34.386</t>
  </si>
  <si>
    <t>18.463</t>
  </si>
  <si>
    <t>Waypoint (Boundary  line Cape Point)</t>
  </si>
  <si>
    <t>21.784</t>
  </si>
  <si>
    <t>30.131</t>
  </si>
  <si>
    <t>-34.363</t>
  </si>
  <si>
    <t>18.502</t>
  </si>
  <si>
    <t>8.731</t>
  </si>
  <si>
    <t>28.267</t>
  </si>
  <si>
    <t>-34.146</t>
  </si>
  <si>
    <t>18.471</t>
  </si>
  <si>
    <t>6.167</t>
  </si>
  <si>
    <t>32.462</t>
  </si>
  <si>
    <t>-34.103</t>
  </si>
  <si>
    <t>18.541</t>
  </si>
  <si>
    <t>38.288</t>
  </si>
  <si>
    <t>18.638</t>
  </si>
  <si>
    <t>Transect 39</t>
  </si>
  <si>
    <t>34.138</t>
  </si>
  <si>
    <t>27.101</t>
  </si>
  <si>
    <t>-34.569</t>
  </si>
  <si>
    <t>18.452</t>
  </si>
  <si>
    <t>38.333</t>
  </si>
  <si>
    <t>33.394</t>
  </si>
  <si>
    <t>-34.639</t>
  </si>
  <si>
    <t>18.557</t>
  </si>
  <si>
    <t>Transect 40</t>
  </si>
  <si>
    <t>5.934</t>
  </si>
  <si>
    <t>45.513</t>
  </si>
  <si>
    <t>-34.099</t>
  </si>
  <si>
    <t>18.759</t>
  </si>
  <si>
    <t>7.1</t>
  </si>
  <si>
    <t>48.31</t>
  </si>
  <si>
    <t>-34.118</t>
  </si>
  <si>
    <t>18.805</t>
  </si>
  <si>
    <t>9.197</t>
  </si>
  <si>
    <t>49.941</t>
  </si>
  <si>
    <t>-34.153</t>
  </si>
  <si>
    <t>18.832</t>
  </si>
  <si>
    <t>11.295</t>
  </si>
  <si>
    <t>-34.188</t>
  </si>
  <si>
    <t>18.987</t>
  </si>
  <si>
    <t>48.077</t>
  </si>
  <si>
    <t>-34.316</t>
  </si>
  <si>
    <t>18.801</t>
  </si>
  <si>
    <t>Transect 41</t>
  </si>
  <si>
    <t>42.063</t>
  </si>
  <si>
    <t>39.687</t>
  </si>
  <si>
    <t>-34.701</t>
  </si>
  <si>
    <t>18.661</t>
  </si>
  <si>
    <t>45.093</t>
  </si>
  <si>
    <t>46.912</t>
  </si>
  <si>
    <t>-34.752</t>
  </si>
  <si>
    <t>18.782</t>
  </si>
  <si>
    <t>Transect 42</t>
  </si>
  <si>
    <t>22.716</t>
  </si>
  <si>
    <t>55.535</t>
  </si>
  <si>
    <t>-34.379</t>
  </si>
  <si>
    <t>18.926</t>
  </si>
  <si>
    <t>58.331</t>
  </si>
  <si>
    <t>18.972</t>
  </si>
  <si>
    <t>22.017</t>
  </si>
  <si>
    <t>19</t>
  </si>
  <si>
    <t>0.895</t>
  </si>
  <si>
    <t>-34.367</t>
  </si>
  <si>
    <t>19.015</t>
  </si>
  <si>
    <t>3.459</t>
  </si>
  <si>
    <t>19.058</t>
  </si>
  <si>
    <t>24.115</t>
  </si>
  <si>
    <t>5.789</t>
  </si>
  <si>
    <t>-34.402</t>
  </si>
  <si>
    <t>19.096</t>
  </si>
  <si>
    <t>26.912</t>
  </si>
  <si>
    <t>7.887</t>
  </si>
  <si>
    <t>-34.449</t>
  </si>
  <si>
    <t>19.131</t>
  </si>
  <si>
    <t>9.984</t>
  </si>
  <si>
    <t>19.166</t>
  </si>
  <si>
    <t>Transect 43</t>
  </si>
  <si>
    <t>49.522</t>
  </si>
  <si>
    <t>1.594</t>
  </si>
  <si>
    <t>-34.825</t>
  </si>
  <si>
    <t>19.027</t>
  </si>
  <si>
    <t>51.619</t>
  </si>
  <si>
    <t>6.489</t>
  </si>
  <si>
    <t>-34.86</t>
  </si>
  <si>
    <t>19.108</t>
  </si>
  <si>
    <t>Transect 44</t>
  </si>
  <si>
    <t>15.811</t>
  </si>
  <si>
    <t>19.264</t>
  </si>
  <si>
    <t>27.611</t>
  </si>
  <si>
    <t>18.375</t>
  </si>
  <si>
    <t>-34.46</t>
  </si>
  <si>
    <t>19.306</t>
  </si>
  <si>
    <t>29.942</t>
  </si>
  <si>
    <t>20.938</t>
  </si>
  <si>
    <t>-34.499</t>
  </si>
  <si>
    <t>19.349</t>
  </si>
  <si>
    <t>32.04</t>
  </si>
  <si>
    <t>21.404</t>
  </si>
  <si>
    <t>-34.534</t>
  </si>
  <si>
    <t>19.357</t>
  </si>
  <si>
    <t>36.702</t>
  </si>
  <si>
    <t>16.51</t>
  </si>
  <si>
    <t>-34.612</t>
  </si>
  <si>
    <t>19.275</t>
  </si>
  <si>
    <t>39.732</t>
  </si>
  <si>
    <t>17.442</t>
  </si>
  <si>
    <t>-34.662</t>
  </si>
  <si>
    <t>19.291</t>
  </si>
  <si>
    <t>37.867</t>
  </si>
  <si>
    <t>24.9</t>
  </si>
  <si>
    <t>-34.631</t>
  </si>
  <si>
    <t>19.415</t>
  </si>
  <si>
    <t>39.033</t>
  </si>
  <si>
    <t>26.066</t>
  </si>
  <si>
    <t>-34.651</t>
  </si>
  <si>
    <t>19.434</t>
  </si>
  <si>
    <t>Transect 45</t>
  </si>
  <si>
    <t>58.146</t>
  </si>
  <si>
    <t>18.841</t>
  </si>
  <si>
    <t>-34.969</t>
  </si>
  <si>
    <t>19.314</t>
  </si>
  <si>
    <t>-35</t>
  </si>
  <si>
    <t>1.176</t>
  </si>
  <si>
    <t>25.366</t>
  </si>
  <si>
    <t>-35.02</t>
  </si>
  <si>
    <t>19.423</t>
  </si>
  <si>
    <t>Transect 46</t>
  </si>
  <si>
    <t>42.296</t>
  </si>
  <si>
    <t>32.358</t>
  </si>
  <si>
    <t>-34.705</t>
  </si>
  <si>
    <t>19.539</t>
  </si>
  <si>
    <t>44.86</t>
  </si>
  <si>
    <t>33.523</t>
  </si>
  <si>
    <t>-34.748</t>
  </si>
  <si>
    <t>19.559</t>
  </si>
  <si>
    <t>47.424</t>
  </si>
  <si>
    <t>37.486</t>
  </si>
  <si>
    <t>-34.79</t>
  </si>
  <si>
    <t>19.625</t>
  </si>
  <si>
    <t>Transect 47</t>
  </si>
  <si>
    <t>5.605</t>
  </si>
  <si>
    <t>30.261</t>
  </si>
  <si>
    <t>-35.093</t>
  </si>
  <si>
    <t>19.504</t>
  </si>
  <si>
    <t>7.469</t>
  </si>
  <si>
    <t>33.757</t>
  </si>
  <si>
    <t>-35.124</t>
  </si>
  <si>
    <t>19.563</t>
  </si>
  <si>
    <t>Transect 48</t>
  </si>
  <si>
    <t>48.589</t>
  </si>
  <si>
    <t>40.748</t>
  </si>
  <si>
    <t>-34.81</t>
  </si>
  <si>
    <t>19.679</t>
  </si>
  <si>
    <t>42.613</t>
  </si>
  <si>
    <t>19.71</t>
  </si>
  <si>
    <t>47.657</t>
  </si>
  <si>
    <t>48.206</t>
  </si>
  <si>
    <t>-34.794</t>
  </si>
  <si>
    <t>19.803</t>
  </si>
  <si>
    <t>Transect 49</t>
  </si>
  <si>
    <t>9.8</t>
  </si>
  <si>
    <t>39.583</t>
  </si>
  <si>
    <t>-35.163</t>
  </si>
  <si>
    <t>19.66</t>
  </si>
  <si>
    <t>14.695</t>
  </si>
  <si>
    <t>51.469</t>
  </si>
  <si>
    <t>-35.245</t>
  </si>
  <si>
    <t>19.858</t>
  </si>
  <si>
    <t>Transect 50</t>
  </si>
  <si>
    <t>49.055</t>
  </si>
  <si>
    <t>54.033</t>
  </si>
  <si>
    <t>-34.818</t>
  </si>
  <si>
    <t>19.901</t>
  </si>
  <si>
    <t>51.386</t>
  </si>
  <si>
    <t>20</t>
  </si>
  <si>
    <t>1.258</t>
  </si>
  <si>
    <t>-34.856</t>
  </si>
  <si>
    <t>20.021</t>
  </si>
  <si>
    <t>Waypoint (Boundary line Cape Agulhas)</t>
  </si>
  <si>
    <t>5.22</t>
  </si>
  <si>
    <t>20.087</t>
  </si>
  <si>
    <t>44.627</t>
  </si>
  <si>
    <t>7.317</t>
  </si>
  <si>
    <t>-34.744</t>
  </si>
  <si>
    <t>20.122</t>
  </si>
  <si>
    <t>Transect 51</t>
  </si>
  <si>
    <t>14.229</t>
  </si>
  <si>
    <t>14.076</t>
  </si>
  <si>
    <t>-35.237</t>
  </si>
  <si>
    <t>20.235</t>
  </si>
  <si>
    <t>12.131</t>
  </si>
  <si>
    <t>21.068</t>
  </si>
  <si>
    <t>-35.202</t>
  </si>
  <si>
    <t>20.351</t>
  </si>
  <si>
    <t>Transect 52</t>
  </si>
  <si>
    <t>42.762</t>
  </si>
  <si>
    <t>-34.713</t>
  </si>
  <si>
    <t>39.499</t>
  </si>
  <si>
    <t>17.106</t>
  </si>
  <si>
    <t>-34.658</t>
  </si>
  <si>
    <t>20.285</t>
  </si>
  <si>
    <t>Transect 53</t>
  </si>
  <si>
    <t>13.763</t>
  </si>
  <si>
    <t>25.263</t>
  </si>
  <si>
    <t>-35.229</t>
  </si>
  <si>
    <t>20.421</t>
  </si>
  <si>
    <t>35.517</t>
  </si>
  <si>
    <t>20.592</t>
  </si>
  <si>
    <t>Transect 54</t>
  </si>
  <si>
    <t>31.807</t>
  </si>
  <si>
    <t>26.894</t>
  </si>
  <si>
    <t>-34.53</t>
  </si>
  <si>
    <t>20.448</t>
  </si>
  <si>
    <t>29.709</t>
  </si>
  <si>
    <t>30.623</t>
  </si>
  <si>
    <t>-34.495</t>
  </si>
  <si>
    <t>20.51</t>
  </si>
  <si>
    <t>28.777</t>
  </si>
  <si>
    <t>34.585</t>
  </si>
  <si>
    <t>-34.48</t>
  </si>
  <si>
    <t>20.576</t>
  </si>
  <si>
    <t>28.544</t>
  </si>
  <si>
    <t>37.149</t>
  </si>
  <si>
    <t>-34.476</t>
  </si>
  <si>
    <t>20.619</t>
  </si>
  <si>
    <t>Transect 55</t>
  </si>
  <si>
    <t>3.507</t>
  </si>
  <si>
    <t>45.306</t>
  </si>
  <si>
    <t>-35.058</t>
  </si>
  <si>
    <t>20.755</t>
  </si>
  <si>
    <t>3.041</t>
  </si>
  <si>
    <t>49.268</t>
  </si>
  <si>
    <t>-35.051</t>
  </si>
  <si>
    <t>20.821</t>
  </si>
  <si>
    <t>Transect 56</t>
  </si>
  <si>
    <t>29.01</t>
  </si>
  <si>
    <t>40.878</t>
  </si>
  <si>
    <t>-34.483</t>
  </si>
  <si>
    <t>20.681</t>
  </si>
  <si>
    <t>44.84</t>
  </si>
  <si>
    <t>20.747</t>
  </si>
  <si>
    <t>48.802</t>
  </si>
  <si>
    <t>20.813</t>
  </si>
  <si>
    <t>29.243</t>
  </si>
  <si>
    <t>52.531</t>
  </si>
  <si>
    <t>-34.487</t>
  </si>
  <si>
    <t>20.876</t>
  </si>
  <si>
    <t>Waypoint (Boundary line Cape Infanta)</t>
  </si>
  <si>
    <t>25.98</t>
  </si>
  <si>
    <t>53.463</t>
  </si>
  <si>
    <t>-34.433</t>
  </si>
  <si>
    <t>20.891</t>
  </si>
  <si>
    <t>22.949</t>
  </si>
  <si>
    <t>57.192</t>
  </si>
  <si>
    <t>-34.382</t>
  </si>
  <si>
    <t>20.953</t>
  </si>
  <si>
    <t>21</t>
  </si>
  <si>
    <t>0.455</t>
  </si>
  <si>
    <t>21.008</t>
  </si>
  <si>
    <t>Transect 57</t>
  </si>
  <si>
    <t>59.078</t>
  </si>
  <si>
    <t>8.845</t>
  </si>
  <si>
    <t>-34.985</t>
  </si>
  <si>
    <t>21.147</t>
  </si>
  <si>
    <t>59.311</t>
  </si>
  <si>
    <t>16.769</t>
  </si>
  <si>
    <t>-34.989</t>
  </si>
  <si>
    <t>21.279</t>
  </si>
  <si>
    <t>Transect 58</t>
  </si>
  <si>
    <t>24.581</t>
  </si>
  <si>
    <t>8.146</t>
  </si>
  <si>
    <t>-34.41</t>
  </si>
  <si>
    <t>21.136</t>
  </si>
  <si>
    <t>18.633</t>
  </si>
  <si>
    <t>21.311</t>
  </si>
  <si>
    <t>25.747</t>
  </si>
  <si>
    <t>24.46</t>
  </si>
  <si>
    <t>-34.429</t>
  </si>
  <si>
    <t>21.408</t>
  </si>
  <si>
    <t>Transect 59</t>
  </si>
  <si>
    <t>4.905</t>
  </si>
  <si>
    <t>33.549</t>
  </si>
  <si>
    <t>-35.082</t>
  </si>
  <si>
    <t>21.559</t>
  </si>
  <si>
    <t>3.973</t>
  </si>
  <si>
    <t>52.194</t>
  </si>
  <si>
    <t>-35.066</t>
  </si>
  <si>
    <t>21.87</t>
  </si>
  <si>
    <t>Transect 60</t>
  </si>
  <si>
    <t>24.814</t>
  </si>
  <si>
    <t>42.872</t>
  </si>
  <si>
    <t>-34.414</t>
  </si>
  <si>
    <t>21.715</t>
  </si>
  <si>
    <t>53.825</t>
  </si>
  <si>
    <t>21.897</t>
  </si>
  <si>
    <t>Transect 61</t>
  </si>
  <si>
    <t>39.169</t>
  </si>
  <si>
    <t>22</t>
  </si>
  <si>
    <t>12.004</t>
  </si>
  <si>
    <t>-35.653</t>
  </si>
  <si>
    <t>22.2</t>
  </si>
  <si>
    <t>28.913</t>
  </si>
  <si>
    <t>21.793</t>
  </si>
  <si>
    <t>-35.482</t>
  </si>
  <si>
    <t>22.363</t>
  </si>
  <si>
    <t>Transect 62</t>
  </si>
  <si>
    <t>14.092</t>
  </si>
  <si>
    <t>4.08</t>
  </si>
  <si>
    <t>-34.235</t>
  </si>
  <si>
    <t>22.068</t>
  </si>
  <si>
    <t>13.859</t>
  </si>
  <si>
    <t>8.042</t>
  </si>
  <si>
    <t>-34.231</t>
  </si>
  <si>
    <t>22.134</t>
  </si>
  <si>
    <t>9.907</t>
  </si>
  <si>
    <t>22.165</t>
  </si>
  <si>
    <t>Waypoint (Boundary line Mossel Bay)</t>
  </si>
  <si>
    <t>8.032</t>
  </si>
  <si>
    <t>9.44</t>
  </si>
  <si>
    <t>-34.134</t>
  </si>
  <si>
    <t>22.157</t>
  </si>
  <si>
    <t>5.235</t>
  </si>
  <si>
    <t>13.403</t>
  </si>
  <si>
    <t>-34.087</t>
  </si>
  <si>
    <t>22.223</t>
  </si>
  <si>
    <t>4.302</t>
  </si>
  <si>
    <t>19.695</t>
  </si>
  <si>
    <t>-34.072</t>
  </si>
  <si>
    <t>22.328</t>
  </si>
  <si>
    <t>Transect 63</t>
  </si>
  <si>
    <t>12.364</t>
  </si>
  <si>
    <t>35.776</t>
  </si>
  <si>
    <t>-35.206</t>
  </si>
  <si>
    <t>22.596</t>
  </si>
  <si>
    <t>5.371</t>
  </si>
  <si>
    <t>43.467</t>
  </si>
  <si>
    <t>-35.09</t>
  </si>
  <si>
    <t>22.724</t>
  </si>
  <si>
    <t>Transect 64</t>
  </si>
  <si>
    <t>4.536</t>
  </si>
  <si>
    <t>29.018</t>
  </si>
  <si>
    <t>-34.076</t>
  </si>
  <si>
    <t>22.484</t>
  </si>
  <si>
    <t>0.806</t>
  </si>
  <si>
    <t>34.378</t>
  </si>
  <si>
    <t>-34.013</t>
  </si>
  <si>
    <t>22.573</t>
  </si>
  <si>
    <t>1.039</t>
  </si>
  <si>
    <t>37.874</t>
  </si>
  <si>
    <t>-34.017</t>
  </si>
  <si>
    <t>22.631</t>
  </si>
  <si>
    <t>2.438</t>
  </si>
  <si>
    <t>40.437</t>
  </si>
  <si>
    <t>-34.041</t>
  </si>
  <si>
    <t>22.674</t>
  </si>
  <si>
    <t>Transect 65</t>
  </si>
  <si>
    <t>0.943</t>
  </si>
  <si>
    <t>53.955</t>
  </si>
  <si>
    <t>-35.016</t>
  </si>
  <si>
    <t>22.899</t>
  </si>
  <si>
    <t>55.349</t>
  </si>
  <si>
    <t>23</t>
  </si>
  <si>
    <t>10.269</t>
  </si>
  <si>
    <t>-34.922</t>
  </si>
  <si>
    <t>23.171</t>
  </si>
  <si>
    <t>Transect 66</t>
  </si>
  <si>
    <t>59.315</t>
  </si>
  <si>
    <t>22.989</t>
  </si>
  <si>
    <t>13.299</t>
  </si>
  <si>
    <t>23.222</t>
  </si>
  <si>
    <t>Transect 67</t>
  </si>
  <si>
    <t>52.785</t>
  </si>
  <si>
    <t>24.486</t>
  </si>
  <si>
    <t>-34.88</t>
  </si>
  <si>
    <t>23.408</t>
  </si>
  <si>
    <t>53.251</t>
  </si>
  <si>
    <t>30.778</t>
  </si>
  <si>
    <t>-34.888</t>
  </si>
  <si>
    <t>23.513</t>
  </si>
  <si>
    <t>Transect 68</t>
  </si>
  <si>
    <t>7.566</t>
  </si>
  <si>
    <t>19.591</t>
  </si>
  <si>
    <t>-34.126</t>
  </si>
  <si>
    <t>23.327</t>
  </si>
  <si>
    <t>25.884</t>
  </si>
  <si>
    <t>23.431</t>
  </si>
  <si>
    <t>5.701</t>
  </si>
  <si>
    <t>-34.095</t>
  </si>
  <si>
    <t>3.603</t>
  </si>
  <si>
    <t>23.554</t>
  </si>
  <si>
    <t>-34.06</t>
  </si>
  <si>
    <t>23.393</t>
  </si>
  <si>
    <t>1.972</t>
  </si>
  <si>
    <t>26.816</t>
  </si>
  <si>
    <t>-34.033</t>
  </si>
  <si>
    <t>23.447</t>
  </si>
  <si>
    <t>1.505</t>
  </si>
  <si>
    <t>31.944</t>
  </si>
  <si>
    <t>-34.025</t>
  </si>
  <si>
    <t>23.532</t>
  </si>
  <si>
    <t>35.673</t>
  </si>
  <si>
    <t>23.595</t>
  </si>
  <si>
    <t>Transect 69</t>
  </si>
  <si>
    <t>48.356</t>
  </si>
  <si>
    <t>46.626</t>
  </si>
  <si>
    <t>-34.806</t>
  </si>
  <si>
    <t>23.777</t>
  </si>
  <si>
    <t>46.724</t>
  </si>
  <si>
    <t>24</t>
  </si>
  <si>
    <t>3.407</t>
  </si>
  <si>
    <t>-34.779</t>
  </si>
  <si>
    <t>24.057</t>
  </si>
  <si>
    <t>Transect 70</t>
  </si>
  <si>
    <t>3.137</t>
  </si>
  <si>
    <t>53.152</t>
  </si>
  <si>
    <t>-34.052</t>
  </si>
  <si>
    <t>23.886</t>
  </si>
  <si>
    <t>55.716</t>
  </si>
  <si>
    <t>23.929</t>
  </si>
  <si>
    <t>4.769</t>
  </si>
  <si>
    <t>2.008</t>
  </si>
  <si>
    <t>-34.079</t>
  </si>
  <si>
    <t>24.033</t>
  </si>
  <si>
    <t>5.468</t>
  </si>
  <si>
    <t>13.195</t>
  </si>
  <si>
    <t>-34.091</t>
  </si>
  <si>
    <t>24.22</t>
  </si>
  <si>
    <t>Transect 71</t>
  </si>
  <si>
    <t>22.751</t>
  </si>
  <si>
    <t>24.379</t>
  </si>
  <si>
    <t>33.471</t>
  </si>
  <si>
    <t>24.558</t>
  </si>
  <si>
    <t>Transect 72</t>
  </si>
  <si>
    <t>9.43</t>
  </si>
  <si>
    <t>26.48</t>
  </si>
  <si>
    <t>-34.157</t>
  </si>
  <si>
    <t>24.441</t>
  </si>
  <si>
    <t>11.528</t>
  </si>
  <si>
    <t>30.908</t>
  </si>
  <si>
    <t>-34.192</t>
  </si>
  <si>
    <t>24.515</t>
  </si>
  <si>
    <t>36.967</t>
  </si>
  <si>
    <t>24.616</t>
  </si>
  <si>
    <t>12.461</t>
  </si>
  <si>
    <t>42.561</t>
  </si>
  <si>
    <t>-34.208</t>
  </si>
  <si>
    <t>24.709</t>
  </si>
  <si>
    <t>14.558</t>
  </si>
  <si>
    <t>50.019</t>
  </si>
  <si>
    <t>-34.243</t>
  </si>
  <si>
    <t>24.834</t>
  </si>
  <si>
    <t>13.16</t>
  </si>
  <si>
    <t>53.048</t>
  </si>
  <si>
    <t>-34.219</t>
  </si>
  <si>
    <t>24.884</t>
  </si>
  <si>
    <t>Waypoint (Boundary line Port Elizabeth)</t>
  </si>
  <si>
    <t>54.214</t>
  </si>
  <si>
    <t>24.904</t>
  </si>
  <si>
    <t>52.582</t>
  </si>
  <si>
    <t>24.876</t>
  </si>
  <si>
    <t>1.738</t>
  </si>
  <si>
    <t>57.244</t>
  </si>
  <si>
    <t>-34.029</t>
  </si>
  <si>
    <t>24.954</t>
  </si>
  <si>
    <t>Transect 73</t>
  </si>
  <si>
    <t>36.469</t>
  </si>
  <si>
    <t>25</t>
  </si>
  <si>
    <t>5.401</t>
  </si>
  <si>
    <t>-34.608</t>
  </si>
  <si>
    <t>25.09</t>
  </si>
  <si>
    <t>33.438</t>
  </si>
  <si>
    <t>14.956</t>
  </si>
  <si>
    <t>-34.557</t>
  </si>
  <si>
    <t>25.249</t>
  </si>
  <si>
    <t>Transect 74</t>
  </si>
  <si>
    <t>58.941</t>
  </si>
  <si>
    <t>6.799</t>
  </si>
  <si>
    <t>-33.982</t>
  </si>
  <si>
    <t>25.113</t>
  </si>
  <si>
    <t>59.641</t>
  </si>
  <si>
    <t>12.392</t>
  </si>
  <si>
    <t>-33.994</t>
  </si>
  <si>
    <t>25.207</t>
  </si>
  <si>
    <t>19.85</t>
  </si>
  <si>
    <t>25.331</t>
  </si>
  <si>
    <t>3.836</t>
  </si>
  <si>
    <t>26.376</t>
  </si>
  <si>
    <t>-34.064</t>
  </si>
  <si>
    <t>25.44</t>
  </si>
  <si>
    <t>2.904</t>
  </si>
  <si>
    <t>31.503</t>
  </si>
  <si>
    <t>-34.048</t>
  </si>
  <si>
    <t>25.525</t>
  </si>
  <si>
    <t>Transect 75</t>
  </si>
  <si>
    <t>26.679</t>
  </si>
  <si>
    <t>36.398</t>
  </si>
  <si>
    <t>-34.445</t>
  </si>
  <si>
    <t>25.607</t>
  </si>
  <si>
    <t>23.416</t>
  </si>
  <si>
    <t>-34.39</t>
  </si>
  <si>
    <t>25.875</t>
  </si>
  <si>
    <t>Transect 76</t>
  </si>
  <si>
    <t>47.986</t>
  </si>
  <si>
    <t>43.855</t>
  </si>
  <si>
    <t>-33.8</t>
  </si>
  <si>
    <t>25.731</t>
  </si>
  <si>
    <t>44.49</t>
  </si>
  <si>
    <t>50.614</t>
  </si>
  <si>
    <t>-33.741</t>
  </si>
  <si>
    <t>25.844</t>
  </si>
  <si>
    <t>43.558</t>
  </si>
  <si>
    <t>26</t>
  </si>
  <si>
    <t>-33.726</t>
  </si>
  <si>
    <t>26.011</t>
  </si>
  <si>
    <t>Transect 77</t>
  </si>
  <si>
    <t>20.852</t>
  </si>
  <si>
    <t>9.725</t>
  </si>
  <si>
    <t>-34.348</t>
  </si>
  <si>
    <t>26.162</t>
  </si>
  <si>
    <t>15.491</t>
  </si>
  <si>
    <t>22.077</t>
  </si>
  <si>
    <t>-34.258</t>
  </si>
  <si>
    <t>26.368</t>
  </si>
  <si>
    <t>Transect 78</t>
  </si>
  <si>
    <t>45.888</t>
  </si>
  <si>
    <t>15.319</t>
  </si>
  <si>
    <t>-33.765</t>
  </si>
  <si>
    <t>26.255</t>
  </si>
  <si>
    <t>47.054</t>
  </si>
  <si>
    <t>20.213</t>
  </si>
  <si>
    <t>-33.784</t>
  </si>
  <si>
    <t>26.337</t>
  </si>
  <si>
    <t>26.039</t>
  </si>
  <si>
    <t>26.434</t>
  </si>
  <si>
    <t>Transect 79</t>
  </si>
  <si>
    <t>31.866</t>
  </si>
  <si>
    <t>26.531</t>
  </si>
  <si>
    <t>5.002</t>
  </si>
  <si>
    <t>48.413</t>
  </si>
  <si>
    <t>-34.083</t>
  </si>
  <si>
    <t>26.807</t>
  </si>
  <si>
    <t>Transect 80</t>
  </si>
  <si>
    <t>41.227</t>
  </si>
  <si>
    <t>42.354</t>
  </si>
  <si>
    <t>-33.687</t>
  </si>
  <si>
    <t>26.706</t>
  </si>
  <si>
    <t>37.73</t>
  </si>
  <si>
    <t>54.473</t>
  </si>
  <si>
    <t>-33.629</t>
  </si>
  <si>
    <t>26.908</t>
  </si>
  <si>
    <t>Waypoint (Boundary line Port Alfred)</t>
  </si>
  <si>
    <t>Stratum</t>
  </si>
  <si>
    <t>Transect #</t>
  </si>
  <si>
    <t>Ranking</t>
  </si>
  <si>
    <t>A</t>
  </si>
  <si>
    <t>D</t>
  </si>
  <si>
    <t>G</t>
  </si>
  <si>
    <t>B</t>
  </si>
  <si>
    <t>E</t>
  </si>
  <si>
    <t>H</t>
  </si>
  <si>
    <t>C</t>
  </si>
  <si>
    <t>SAMPLE FOR GENETICS</t>
  </si>
  <si>
    <t>STA N°</t>
  </si>
  <si>
    <t>SAMPLE N°</t>
  </si>
  <si>
    <t>BOX N°</t>
  </si>
  <si>
    <t>N°INSIDE</t>
  </si>
  <si>
    <t>FAMILY</t>
  </si>
  <si>
    <t>SPECIES/TAXA</t>
  </si>
  <si>
    <t>TL (mm)</t>
  </si>
  <si>
    <t>SL (mm)</t>
  </si>
  <si>
    <t>DW</t>
  </si>
  <si>
    <t>ML</t>
  </si>
  <si>
    <t>PHOTO</t>
  </si>
  <si>
    <t>.</t>
  </si>
  <si>
    <t xml:space="preserve">Family </t>
  </si>
  <si>
    <t>Class</t>
  </si>
  <si>
    <t>Squillidae - Mantis shrims</t>
  </si>
  <si>
    <t>Crustacea</t>
  </si>
  <si>
    <t>Aristeidae - Aristeid shrimps</t>
  </si>
  <si>
    <t>Penaeidae - Penaeid shrimps</t>
  </si>
  <si>
    <t>Palaemonidae - Palaemonid shrimps</t>
  </si>
  <si>
    <t>Pandalidae - Pandalid shrimps</t>
  </si>
  <si>
    <t>Nephropidae - True lobsters &amp; langoustines</t>
  </si>
  <si>
    <t>Palinuridae - Spiny lobsters</t>
  </si>
  <si>
    <t>Scyllaridae - Slipper lobsters</t>
  </si>
  <si>
    <t>Galatheidae Squat lobsters</t>
  </si>
  <si>
    <t>Homolidae Paromolas</t>
  </si>
  <si>
    <t>Calappidae - Box crabs</t>
  </si>
  <si>
    <t>Majidae -Spider crabs</t>
  </si>
  <si>
    <t>Geryonidae Deepsea crabs</t>
  </si>
  <si>
    <t>Portunidae - Swimming crabs</t>
  </si>
  <si>
    <t>Sepiidae - Cuttlefishes</t>
  </si>
  <si>
    <t>Cephalopoda</t>
  </si>
  <si>
    <t>Sepiolidae - Bobtail squids</t>
  </si>
  <si>
    <t>Loliginidae - Inshore squids</t>
  </si>
  <si>
    <t>Ommastephidae - Flying squids</t>
  </si>
  <si>
    <t>Octopodidae - Benthic octopods</t>
  </si>
  <si>
    <t>anchovyfat</t>
  </si>
  <si>
    <t>sardinefat</t>
  </si>
  <si>
    <t>Fat stage scale for anchovy to be used during Leg 4.1</t>
  </si>
  <si>
    <t>Fat stage scale for sardine and round sardinella to be used during Leg 4.1</t>
  </si>
  <si>
    <t>Labelled Eppendorf vials to be used for storing genetic samples</t>
  </si>
  <si>
    <t>Leg 4.1 survey acoustic transects and strata in South-West Africa for small pelagic recruitment purposes.</t>
  </si>
  <si>
    <t>Community structure of mesopelagic fish</t>
  </si>
  <si>
    <t>*Sardinella maderensis*</t>
  </si>
  <si>
    <t>*Ilisha africana*</t>
  </si>
  <si>
    <t>*Selene dorsalis*</t>
  </si>
  <si>
    <t>*Chloroscombrus chrysurus*</t>
  </si>
  <si>
    <t>*Decapterus rhonchus*</t>
  </si>
  <si>
    <t>*Decapterus punctatus*</t>
  </si>
  <si>
    <t>*Seriola carpenteri*</t>
  </si>
  <si>
    <t>*Auxis thazard*</t>
  </si>
  <si>
    <t>*Sarda sarda*</t>
  </si>
  <si>
    <t>*Scomber colias*</t>
  </si>
  <si>
    <t>*Sphyraena guachancho*</t>
  </si>
  <si>
    <t>*Trichiurus lepturus*</t>
  </si>
  <si>
    <t>*Lepidopus caudatus*</t>
  </si>
  <si>
    <t>*Brachydeuterus auritus*</t>
  </si>
  <si>
    <t>*Dentex angolensis*</t>
  </si>
  <si>
    <t>*D. macrophthalmus*</t>
  </si>
  <si>
    <t>*D. congoensis*</t>
  </si>
  <si>
    <t>*D. canariensis*</t>
  </si>
  <si>
    <t>*D. barnardi*</t>
  </si>
  <si>
    <t>*Pagellus bellottii*</t>
  </si>
  <si>
    <t>*Sparus caeruleostictus*</t>
  </si>
  <si>
    <t>*S. pagrus africanus*</t>
  </si>
  <si>
    <t>*Saurida brasiliensis*</t>
  </si>
  <si>
    <t>*Ariomma bondi*</t>
  </si>
  <si>
    <t>*Pomadasys incisus*</t>
  </si>
  <si>
    <t>*Galeoides decadactylus*</t>
  </si>
  <si>
    <t>*Diaphus dumerili*</t>
  </si>
  <si>
    <t>*Sardinella aurita*</t>
  </si>
  <si>
    <t>*Trachurus trecae*</t>
  </si>
  <si>
    <t>*Scomber colias*</t>
  </si>
  <si>
    <t>Grand total</t>
  </si>
  <si>
    <t>Pelagic group 1 </t>
  </si>
  <si>
    <t>Pelagic group 2 </t>
  </si>
  <si>
    <t>Mesopelagic fish</t>
  </si>
  <si>
    <t>Anthropogenic pollutants</t>
  </si>
  <si>
    <t>**YES**</t>
  </si>
  <si>
    <t>**√**</t>
  </si>
  <si>
    <t>collected and recorded at sea</t>
  </si>
  <si>
    <t>samples retained for subsequent analysis</t>
  </si>
  <si>
    <t>*Brachydeuterus auritus*^[only rarely used as a separated acoustic category; therefore included in PEL2]</t>
  </si>
  <si>
    <t>**YES:**</t>
  </si>
  <si>
    <t>**√:**</t>
  </si>
  <si>
    <t>Fshabangu@dffe.gov.za</t>
  </si>
  <si>
    <t>SOUTH AFRICA</t>
  </si>
  <si>
    <t>ANGOLA</t>
  </si>
  <si>
    <t>Leg4.1_A+B</t>
  </si>
  <si>
    <t>Leg4.1_A</t>
  </si>
  <si>
    <t>Leg4.1_B</t>
  </si>
  <si>
    <t>Location</t>
  </si>
  <si>
    <r>
      <t>*Sardinella*</t>
    </r>
    <r>
      <rPr>
        <sz val="10"/>
        <color rgb="FF000000"/>
        <rFont val="Calibri"/>
        <scheme val="minor"/>
      </rPr>
      <t xml:space="preserve"> spp. </t>
    </r>
  </si>
  <si>
    <r>
      <t>*Trachurus*</t>
    </r>
    <r>
      <rPr>
        <sz val="10"/>
        <color rgb="FF000000"/>
        <rFont val="Calibri"/>
        <scheme val="minor"/>
      </rPr>
      <t> spp.  </t>
    </r>
  </si>
  <si>
    <r>
      <t>*Scomber*</t>
    </r>
    <r>
      <rPr>
        <sz val="10"/>
        <color rgb="FF000000"/>
        <rFont val="Calibri"/>
        <scheme val="minor"/>
      </rPr>
      <t> sp. </t>
    </r>
  </si>
  <si>
    <t>Anchovy</t>
  </si>
  <si>
    <t>Pilchard</t>
  </si>
  <si>
    <t>MESO1</t>
  </si>
  <si>
    <t>Lanternfish</t>
  </si>
  <si>
    <t>MESO2</t>
  </si>
  <si>
    <t>Lightfish</t>
  </si>
  <si>
    <t>OTHER</t>
  </si>
  <si>
    <t>Other</t>
  </si>
  <si>
    <t>MESO^[if more acoustic categories are required the codes MESO3 and MESO4 should be used, and reflected in the table of the survey report]</t>
  </si>
  <si>
    <t>Theme 9</t>
  </si>
  <si>
    <t>Oceanography, climate forcing and impacts on structure, diversity and productivity of marine ecosystems</t>
  </si>
  <si>
    <t>Marek Ostrowski (IMR)</t>
  </si>
  <si>
    <t>Dry</t>
  </si>
  <si>
    <t>Vials</t>
  </si>
  <si>
    <t>Jars</t>
  </si>
  <si>
    <t>96% ethanol for genetics</t>
  </si>
  <si>
    <t>Whole organism if in good condition</t>
  </si>
  <si>
    <t>4% formaldehyde solution</t>
  </si>
  <si>
    <t>pCO2</t>
  </si>
  <si>
    <t>Chlorophyll *a*</t>
  </si>
  <si>
    <t>Round herring (redeye)</t>
  </si>
  <si>
    <t>Leg 4.1  Small pelagic fish in South Africa (Orange River - Port Alfred)</t>
  </si>
  <si>
    <t>Peter Psomadakis, Peter.Psomadakis@fao.org</t>
  </si>
  <si>
    <t>Allocation of acoustic densities to species groups.</t>
  </si>
  <si>
    <t>Invertebrate families for which biolocical samples are to be collected for taxonomic courses.</t>
  </si>
  <si>
    <t>Data entry spreadsheet example.</t>
  </si>
  <si>
    <t>List of people planned to participate on the survey.</t>
  </si>
  <si>
    <t>None of the above categories, or undetermined</t>
  </si>
  <si>
    <t>PEL1^[list of species is not exhaustive]</t>
  </si>
  <si>
    <t>PEL2^[list of species is not exhaustive]</t>
  </si>
  <si>
    <t>*Maurolicus müllerii*</t>
  </si>
  <si>
    <t>*Maurolicus* spp.</t>
  </si>
  <si>
    <t>(e.g. Myctophidae)</t>
  </si>
  <si>
    <t>ANCHO</t>
  </si>
  <si>
    <t>RHERR</t>
  </si>
  <si>
    <t>Gonad stage descriptions for anchovy, sardine and round herring used by the Department of Forestry, Fisheries and the Environment.</t>
  </si>
  <si>
    <t>Fat stage descriptions for anchovy used by the Department of Forestry, Fisheries and the Environment.</t>
  </si>
  <si>
    <t>Fat stage descriptions for sardine and round herring used by the Department of Forestry, Fisheries and the Environment.</t>
  </si>
  <si>
    <t>JCoetzee@dffe.gov.za</t>
  </si>
  <si>
    <t>CVDLingen@dffe.gov.za</t>
  </si>
  <si>
    <t>Carl van der Lingen, CVDLingen@dffe.gov.za</t>
  </si>
  <si>
    <t>GHANA</t>
  </si>
  <si>
    <t>Daniel Nortey</t>
  </si>
  <si>
    <t>Priscilla Ankamah</t>
  </si>
  <si>
    <t>Wendell Quartey-Papafio</t>
  </si>
  <si>
    <t>Olivia Horvey</t>
  </si>
  <si>
    <t>dannylantei@gmail.com</t>
  </si>
  <si>
    <t>ankamah.P@yahoo.com</t>
  </si>
  <si>
    <t>wenbeck5@yahoo.com</t>
  </si>
  <si>
    <t>ohorvey38@gmail.com</t>
  </si>
  <si>
    <t>YGeja@dffe.gov.za</t>
  </si>
  <si>
    <t>ZwMhlongo@dffe.gov.za</t>
  </si>
  <si>
    <t>WApril@dffe.gov.za</t>
  </si>
  <si>
    <t>ABali@dffe.gov.za</t>
  </si>
  <si>
    <t>GJarvis@dffe.gov.za</t>
  </si>
  <si>
    <t>NMxunyelwa@dffe.gov.za</t>
  </si>
  <si>
    <t>jovisopy2@gmail.com</t>
  </si>
  <si>
    <t>MoWilliams@dffe.gov.za</t>
  </si>
  <si>
    <t>DNtiyantiya@dffe.gov.za</t>
  </si>
  <si>
    <t>Lmaliza@dffe.gov.za</t>
  </si>
  <si>
    <t>VAdonis@dffe.gov.za</t>
  </si>
  <si>
    <t>JMwicigi@dffe.gov.za</t>
  </si>
  <si>
    <t>diana.zaera-perez@hi.no</t>
  </si>
  <si>
    <t>tom.williams@hi.no</t>
  </si>
  <si>
    <t>FSSD</t>
  </si>
  <si>
    <t>Deep Vision</t>
  </si>
  <si>
    <r>
      <t xml:space="preserve">*Sardinops* </t>
    </r>
    <r>
      <rPr>
        <sz val="10"/>
        <color rgb="FF000000"/>
        <rFont val="Calibri"/>
        <family val="2"/>
        <scheme val="minor"/>
      </rPr>
      <t>sp.</t>
    </r>
  </si>
  <si>
    <t>Bjoern.Erik.Axelsen@hi.no</t>
  </si>
  <si>
    <t>JELLY</t>
  </si>
  <si>
    <t>Clupeiformes^[Except *Sardinella* and *Engraulis* genera when explicit biomass estimates are provided for them]</t>
  </si>
  <si>
    <t>Carangidae^[Except *Trachurus* and *Scomber* genera when explicit biomass estimates are provided for them]</t>
  </si>
  <si>
    <t xml:space="preserve">Activity diary (Survey Logger/Toktlogger) </t>
  </si>
  <si>
    <t>Olex (with input from EK80)</t>
  </si>
  <si>
    <t>DFFE^[Department of Forestry, Fisheries and the Environment]</t>
  </si>
  <si>
    <t>sardine and round herring eggs</t>
  </si>
  <si>
    <t>*Trachurus capensis*</t>
  </si>
  <si>
    <t>Overview of component sampled, and equipment to be used during the survey. Overview of the gear codes to be used in the Cruise Logger system, detailed information about the rigging of the equipment as well as technical drawings and other specifications of the various equipment can be found in the Nansen wiki site.</t>
  </si>
  <si>
    <t>Ichthyoplankton</t>
  </si>
  <si>
    <t>CUFES (continuous underwater fish egg sampler)</t>
  </si>
  <si>
    <t>Åkra trawl without floats (small, 228)</t>
  </si>
  <si>
    <t xml:space="preserve">Åkratrål u/blåser (små, 228) </t>
  </si>
  <si>
    <t>Åkra trawl with floats (small, 228)</t>
  </si>
  <si>
    <t xml:space="preserve">Åkratrål m/blåser (små, 228) </t>
  </si>
  <si>
    <t>Multpelt 624</t>
  </si>
  <si>
    <t>Multpelt 624 with inner lining</t>
  </si>
  <si>
    <t>Multpelt 624 m/inner nett</t>
  </si>
  <si>
    <t>Multpelt 624 with inner lining and DeepVision</t>
  </si>
  <si>
    <t>Multpelt 624 m/inner nett/DeepVision</t>
  </si>
  <si>
    <t>Multpelt 624 with DeepVision</t>
  </si>
  <si>
    <t>Multpelt 624 m/DeepVision</t>
  </si>
  <si>
    <t>Gisund Super with floats</t>
  </si>
  <si>
    <t>Gisund Super m/blåser</t>
  </si>
  <si>
    <t>Gisund Super without floats</t>
  </si>
  <si>
    <t>Gisund Super u/blåser</t>
  </si>
  <si>
    <t>Gisund Super without floats, with strapping</t>
  </si>
  <si>
    <t>Gisund Super m/strappetau, u/blåser</t>
  </si>
  <si>
    <t>Gisund Super without floats, with tickler chain and strapping</t>
  </si>
  <si>
    <t>Gisund Super m/strappetau/kjettingmatte, u/blåser</t>
  </si>
  <si>
    <t>Macroplankton trawl large without floats</t>
  </si>
  <si>
    <t xml:space="preserve">Makropl.tr. S u/blåser </t>
  </si>
  <si>
    <t>Macroplankton trawl large with floats</t>
  </si>
  <si>
    <t>Beam trawl</t>
  </si>
  <si>
    <t>Bomtrål</t>
  </si>
  <si>
    <t>SPD Code</t>
  </si>
  <si>
    <t>English name</t>
  </si>
  <si>
    <t>Norwegian name</t>
  </si>
  <si>
    <t>Data or Samples</t>
  </si>
  <si>
    <t>Phytoplankton net</t>
  </si>
  <si>
    <t>Algehåv</t>
  </si>
  <si>
    <t>Juday-36  cm</t>
  </si>
  <si>
    <t>WP II-56 cm</t>
  </si>
  <si>
    <t>Multinet-MIDI</t>
  </si>
  <si>
    <t>Multinet-MAMMOTH</t>
  </si>
  <si>
    <t xml:space="preserve">Bongo 60 cm </t>
  </si>
  <si>
    <t>MANTA-net</t>
  </si>
  <si>
    <t>Benthic sledge</t>
  </si>
  <si>
    <t>Bunnslede</t>
  </si>
  <si>
    <t>Box corer grab</t>
  </si>
  <si>
    <t>Box corer grabb</t>
  </si>
  <si>
    <t>CTD Seabird</t>
  </si>
  <si>
    <t>Not required</t>
  </si>
  <si>
    <t>Acoustic Dopler Current Profiler</t>
  </si>
  <si>
    <t>Plankton</t>
  </si>
  <si>
    <t>Plankton, microplastics</t>
  </si>
  <si>
    <t>Benthos</t>
  </si>
  <si>
    <t>Benthos, sediments</t>
  </si>
  <si>
    <t>Responsible for logging</t>
  </si>
  <si>
    <t>Fish, invertebrates, marine debris</t>
  </si>
  <si>
    <t>Fish, invertebrates, marine debris with images</t>
  </si>
  <si>
    <t>missing!!!</t>
  </si>
  <si>
    <t>Echo sounders (EK 80)</t>
  </si>
  <si>
    <t>Omni-directional Fisheries sonar (SU90)</t>
  </si>
  <si>
    <t>Fish, invertebrates acoustic data</t>
  </si>
  <si>
    <t>Fish acoustic data</t>
  </si>
  <si>
    <t>Weather station</t>
  </si>
  <si>
    <t>Meteorological data (wind speed, direction, temperature, light sensor)</t>
  </si>
  <si>
    <t>Physical/Chemical oceanography</t>
  </si>
  <si>
    <t>Bridge officer</t>
  </si>
  <si>
    <t>Automatic</t>
  </si>
  <si>
    <t>?????</t>
  </si>
  <si>
    <t>Observer</t>
  </si>
  <si>
    <t>Addressing population structure of shared pelagic stocks (*T. capensis*)</t>
  </si>
  <si>
    <t>horse mackerel for parasites analysis for stock identification.</t>
  </si>
  <si>
    <t>horse mackerel otoliths for stock identification.</t>
  </si>
  <si>
    <t>vials</t>
  </si>
  <si>
    <t>horse mackerel fin clips for genetic analysis for stock identification.</t>
  </si>
  <si>
    <t>fin-clips in vials</t>
  </si>
  <si>
    <t>Bergen</t>
  </si>
  <si>
    <t>Air</t>
  </si>
  <si>
    <t>Nikolaos Nikolioudakis, nikolaos.nikolioudakis@hi.no</t>
  </si>
  <si>
    <t>FAO</t>
  </si>
  <si>
    <t>unidentified taxa - Taxonomy</t>
  </si>
  <si>
    <t>Whole individual</t>
  </si>
  <si>
    <t>To remain onboard</t>
  </si>
  <si>
    <t>Joana Vihemba de Sousa Pinheiro</t>
  </si>
  <si>
    <t>Stela Maria Madeira Diogo Pedro</t>
  </si>
  <si>
    <t>StelaPedro30@hotmail.com</t>
  </si>
  <si>
    <t>jellyfish (*Chrysaora* sp. and *Aequorea* sp.)</t>
  </si>
  <si>
    <t>jellyfish (*Chrysaora* sp. and *Aequorea* sp.) tissue for genetic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</si>
</sst>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2" x14ac:knownFonts="1">
    <font>
      <sz val="11"/>
      <color theme="1"/>
      <name val="Calibri"/>
      <family val="2"/>
      <scheme val="minor"/>
    </font>
    <font>
      <b/>
      <sz val="11"/>
      <color theme="1"/>
      <name val="Calibri"/>
      <family val="2"/>
      <scheme val="minor"/>
    </font>
    <font>
      <b/>
      <sz val="11"/>
      <color theme="1"/>
      <name val="Arial"/>
      <family val="2"/>
    </font>
    <font>
      <u/>
      <sz val="11"/>
      <color theme="10"/>
      <name val="Calibri"/>
      <family val="2"/>
      <scheme val="minor"/>
    </font>
    <font>
      <sz val="9"/>
      <color rgb="FF000000"/>
      <name val="Arial"/>
      <family val="2"/>
    </font>
    <font>
      <sz val="11"/>
      <color rgb="FF000000"/>
      <name val="Calibri"/>
      <family val="2"/>
    </font>
    <font>
      <b/>
      <sz val="11"/>
      <color rgb="FF000000"/>
      <name val="Calibri"/>
      <family val="2"/>
      <scheme val="minor"/>
    </font>
    <font>
      <sz val="11"/>
      <color rgb="FF000000"/>
      <name val="Calibri"/>
      <family val="2"/>
      <scheme val="minor"/>
    </font>
    <font>
      <sz val="11"/>
      <name val="Calibri"/>
      <family val="2"/>
      <scheme val="minor"/>
    </font>
    <font>
      <sz val="10"/>
      <color rgb="FF000000"/>
      <name val="Calibri"/>
      <family val="2"/>
      <scheme val="minor"/>
    </font>
    <font>
      <b/>
      <sz val="10"/>
      <color rgb="FF000000"/>
      <name val="Calibri"/>
      <family val="2"/>
      <scheme val="minor"/>
    </font>
    <font>
      <i/>
      <sz val="10"/>
      <color rgb="FF000000"/>
      <name val="Calibri"/>
      <family val="2"/>
      <scheme val="minor"/>
    </font>
    <font>
      <sz val="12"/>
      <color rgb="FF000000"/>
      <name val="Calibri"/>
      <family val="2"/>
      <scheme val="minor"/>
    </font>
    <font>
      <b/>
      <sz val="9"/>
      <color rgb="FF000000"/>
      <name val="Calibri"/>
      <family val="2"/>
      <scheme val="minor"/>
    </font>
    <font>
      <b/>
      <sz val="9"/>
      <color rgb="FF000000"/>
      <name val="Calibri"/>
      <family val="2"/>
    </font>
    <font>
      <sz val="9"/>
      <color rgb="FF000000"/>
      <name val="Calibri"/>
      <family val="2"/>
    </font>
    <font>
      <sz val="10"/>
      <color theme="1"/>
      <name val="Calibri"/>
      <family val="2"/>
      <scheme val="minor"/>
    </font>
    <font>
      <i/>
      <sz val="8"/>
      <name val="Calibri"/>
      <family val="2"/>
      <scheme val="minor"/>
    </font>
    <font>
      <sz val="10.5"/>
      <color rgb="FF000000"/>
      <name val="Arial"/>
      <family val="2"/>
      <charset val="1"/>
    </font>
    <font>
      <sz val="11.5"/>
      <color rgb="FF212121"/>
      <name val="Arial"/>
      <family val="2"/>
    </font>
    <font>
      <sz val="11"/>
      <color rgb="FF000000"/>
      <name val="Calibri"/>
      <family val="2"/>
      <charset val="1"/>
    </font>
    <font>
      <sz val="11"/>
      <color rgb="FF444444"/>
      <name val="Calibri"/>
      <family val="2"/>
      <charset val="1"/>
    </font>
    <font>
      <sz val="9"/>
      <color rgb="FF000000"/>
      <name val="Calibri"/>
      <family val="2"/>
      <scheme val="minor"/>
    </font>
    <font>
      <b/>
      <sz val="12"/>
      <color rgb="FF000000"/>
      <name val="Calibri"/>
      <family val="2"/>
    </font>
    <font>
      <sz val="12"/>
      <color rgb="FF000000"/>
      <name val="Calibri"/>
      <family val="2"/>
    </font>
    <font>
      <u/>
      <sz val="11"/>
      <color theme="1"/>
      <name val="Calibri"/>
      <family val="2"/>
      <scheme val="minor"/>
    </font>
    <font>
      <sz val="8"/>
      <name val="Calibri"/>
      <family val="2"/>
      <scheme val="minor"/>
    </font>
    <font>
      <b/>
      <sz val="10"/>
      <color rgb="FF000000"/>
      <name val="Calibri"/>
      <scheme val="minor"/>
    </font>
    <font>
      <sz val="10"/>
      <color rgb="FF000000"/>
      <name val="Calibri"/>
      <scheme val="minor"/>
    </font>
    <font>
      <i/>
      <sz val="10"/>
      <color rgb="FF000000"/>
      <name val="Calibri"/>
      <scheme val="minor"/>
    </font>
    <font>
      <sz val="11"/>
      <color rgb="FF000000"/>
      <name val="Arial"/>
    </font>
    <font>
      <b/>
      <u/>
      <sz val="11"/>
      <color theme="1"/>
      <name val="Calibri"/>
      <family val="2"/>
      <scheme val="minor"/>
    </font>
  </fonts>
  <fills count="10">
    <fill>
      <patternFill patternType="none"/>
    </fill>
    <fill>
      <patternFill patternType="gray125"/>
    </fill>
    <fill>
      <patternFill patternType="solid">
        <fgColor rgb="FFFFFF00"/>
        <bgColor rgb="FF000000"/>
      </patternFill>
    </fill>
    <fill>
      <patternFill patternType="solid">
        <fgColor theme="0"/>
        <bgColor indexed="64"/>
      </patternFill>
    </fill>
    <fill>
      <patternFill patternType="solid">
        <fgColor theme="0" tint="-0.14999847407452621"/>
        <bgColor indexed="64"/>
      </patternFill>
    </fill>
    <fill>
      <patternFill patternType="solid">
        <fgColor theme="5"/>
        <bgColor indexed="64"/>
      </patternFill>
    </fill>
    <fill>
      <patternFill patternType="solid">
        <fgColor theme="9"/>
        <bgColor indexed="64"/>
      </patternFill>
    </fill>
    <fill>
      <patternFill patternType="solid">
        <fgColor theme="0" tint="-0.249977111117893"/>
        <bgColor indexed="64"/>
      </patternFill>
    </fill>
    <fill>
      <patternFill patternType="solid">
        <fgColor rgb="FFFFFFFF"/>
        <bgColor rgb="FF000000"/>
      </patternFill>
    </fill>
    <fill>
      <patternFill patternType="solid">
        <fgColor rgb="FFFFFF00"/>
        <bgColor indexed="64"/>
      </patternFill>
    </fill>
  </fills>
  <borders count="3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right/>
      <top style="thin">
        <color rgb="FF000000"/>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medium">
        <color indexed="64"/>
      </right>
      <top style="medium">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0">
    <xf numFmtId="0" fontId="0" fillId="0" borderId="0" xfId="0"/>
    <xf numFmtId="0" fontId="1" fillId="0" borderId="0" xfId="0" applyFont="1"/>
    <xf numFmtId="0" fontId="2" fillId="0" borderId="1" xfId="0" applyFont="1" applyBorder="1" applyAlignment="1">
      <alignment vertical="center" wrapText="1"/>
    </xf>
    <xf numFmtId="0" fontId="2" fillId="0" borderId="2" xfId="0" applyFont="1" applyBorder="1" applyAlignment="1">
      <alignment vertical="center" wrapText="1"/>
    </xf>
    <xf numFmtId="0" fontId="6" fillId="0" borderId="0" xfId="0" applyFont="1"/>
    <xf numFmtId="0" fontId="7" fillId="0" borderId="0" xfId="0" applyFont="1"/>
    <xf numFmtId="0" fontId="8" fillId="0" borderId="0" xfId="0" applyFont="1" applyAlignment="1">
      <alignment wrapText="1"/>
    </xf>
    <xf numFmtId="0" fontId="12" fillId="0" borderId="0" xfId="0" applyFont="1"/>
    <xf numFmtId="0" fontId="14" fillId="0" borderId="5" xfId="0" applyFont="1" applyBorder="1" applyAlignment="1">
      <alignment vertical="center"/>
    </xf>
    <xf numFmtId="0" fontId="15" fillId="0" borderId="0" xfId="0" applyFont="1" applyAlignment="1">
      <alignment vertical="center"/>
    </xf>
    <xf numFmtId="0" fontId="15" fillId="0" borderId="6" xfId="0" applyFont="1" applyBorder="1" applyAlignment="1">
      <alignment vertical="center"/>
    </xf>
    <xf numFmtId="0" fontId="10" fillId="0" borderId="0" xfId="0" applyFont="1" applyAlignment="1">
      <alignment vertical="center" wrapText="1"/>
    </xf>
    <xf numFmtId="0" fontId="3" fillId="0" borderId="0" xfId="1" applyAlignment="1">
      <alignment wrapText="1"/>
    </xf>
    <xf numFmtId="0" fontId="3" fillId="0" borderId="0" xfId="1"/>
    <xf numFmtId="0" fontId="7" fillId="0" borderId="0" xfId="0" applyFont="1" applyAlignment="1">
      <alignment wrapText="1"/>
    </xf>
    <xf numFmtId="0" fontId="8" fillId="0" borderId="0" xfId="0" applyFont="1"/>
    <xf numFmtId="0" fontId="9" fillId="0" borderId="0" xfId="0" applyFont="1" applyAlignment="1">
      <alignment vertical="center" wrapText="1"/>
    </xf>
    <xf numFmtId="0" fontId="16" fillId="0" borderId="0" xfId="0" applyFont="1"/>
    <xf numFmtId="0" fontId="13" fillId="0" borderId="0" xfId="0" applyFont="1" applyAlignment="1">
      <alignment horizontal="center" vertical="center" wrapText="1"/>
    </xf>
    <xf numFmtId="0" fontId="9" fillId="0" borderId="0" xfId="0" applyFont="1" applyAlignment="1">
      <alignment horizontal="center" vertical="center" wrapText="1"/>
    </xf>
    <xf numFmtId="0" fontId="17" fillId="0" borderId="0" xfId="0" applyFont="1" applyAlignment="1">
      <alignment wrapText="1"/>
    </xf>
    <xf numFmtId="0" fontId="0" fillId="0" borderId="0" xfId="0" applyAlignment="1">
      <alignment horizontal="center" vertical="center"/>
    </xf>
    <xf numFmtId="0" fontId="0" fillId="3" borderId="0" xfId="0" applyFill="1"/>
    <xf numFmtId="0" fontId="5" fillId="0" borderId="0" xfId="0" applyFont="1"/>
    <xf numFmtId="0" fontId="3" fillId="0" borderId="0" xfId="1" applyFill="1" applyBorder="1" applyAlignment="1"/>
    <xf numFmtId="0" fontId="3" fillId="0" borderId="0" xfId="1" applyBorder="1"/>
    <xf numFmtId="0" fontId="8" fillId="0" borderId="0" xfId="0" applyFont="1" applyAlignment="1">
      <alignment horizontal="left" wrapText="1"/>
    </xf>
    <xf numFmtId="0" fontId="7" fillId="0" borderId="0" xfId="0" applyFont="1" applyAlignment="1">
      <alignment horizontal="left" wrapText="1"/>
    </xf>
    <xf numFmtId="0" fontId="7" fillId="0" borderId="0" xfId="0" applyFont="1" applyAlignment="1">
      <alignment horizontal="left"/>
    </xf>
    <xf numFmtId="0" fontId="0" fillId="0" borderId="0" xfId="0" applyAlignment="1">
      <alignment horizontal="left"/>
    </xf>
    <xf numFmtId="0" fontId="18" fillId="0" borderId="0" xfId="0" applyFont="1"/>
    <xf numFmtId="0" fontId="19" fillId="0" borderId="0" xfId="0" applyFont="1"/>
    <xf numFmtId="0" fontId="5" fillId="0" borderId="0" xfId="0" applyFont="1" applyAlignment="1">
      <alignment vertical="center"/>
    </xf>
    <xf numFmtId="0" fontId="20" fillId="0" borderId="0" xfId="0" applyFont="1"/>
    <xf numFmtId="164" fontId="8" fillId="0" borderId="0" xfId="0" quotePrefix="1" applyNumberFormat="1" applyFont="1" applyAlignment="1">
      <alignment horizontal="right" wrapText="1"/>
    </xf>
    <xf numFmtId="0" fontId="21" fillId="0" borderId="0" xfId="0" applyFont="1"/>
    <xf numFmtId="0" fontId="7" fillId="4" borderId="0" xfId="0" applyFont="1" applyFill="1"/>
    <xf numFmtId="0" fontId="13" fillId="0" borderId="8" xfId="0" applyFont="1" applyBorder="1" applyAlignment="1">
      <alignmen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1" fillId="0" borderId="11" xfId="0" applyFont="1" applyBorder="1" applyAlignment="1">
      <alignment vertical="center" wrapText="1"/>
    </xf>
    <xf numFmtId="0" fontId="9" fillId="5" borderId="0" xfId="0" applyFont="1" applyFill="1" applyAlignment="1">
      <alignment horizontal="center" vertical="center" wrapText="1"/>
    </xf>
    <xf numFmtId="0" fontId="9" fillId="6" borderId="0" xfId="0" applyFont="1" applyFill="1" applyAlignment="1">
      <alignment horizontal="center" vertical="center" wrapText="1"/>
    </xf>
    <xf numFmtId="0" fontId="0" fillId="0" borderId="12" xfId="0" applyBorder="1"/>
    <xf numFmtId="0" fontId="22" fillId="0" borderId="0" xfId="0" applyFont="1" applyAlignment="1">
      <alignment horizontal="center" vertical="center" wrapText="1"/>
    </xf>
    <xf numFmtId="0" fontId="9" fillId="0" borderId="11" xfId="0" applyFont="1" applyBorder="1" applyAlignment="1">
      <alignment vertical="center" wrapText="1"/>
    </xf>
    <xf numFmtId="0" fontId="9" fillId="0" borderId="13" xfId="0" applyFont="1" applyBorder="1" applyAlignment="1">
      <alignment vertical="center" wrapText="1"/>
    </xf>
    <xf numFmtId="0" fontId="13" fillId="0" borderId="14" xfId="0" applyFont="1" applyBorder="1" applyAlignment="1">
      <alignment horizontal="center" vertical="center" wrapText="1"/>
    </xf>
    <xf numFmtId="0" fontId="0" fillId="0" borderId="14" xfId="0" applyBorder="1"/>
    <xf numFmtId="0" fontId="0" fillId="0" borderId="15" xfId="0" applyBorder="1"/>
    <xf numFmtId="49" fontId="23" fillId="0" borderId="0" xfId="0" applyNumberFormat="1" applyFont="1"/>
    <xf numFmtId="49" fontId="24" fillId="0" borderId="0" xfId="0" applyNumberFormat="1" applyFont="1"/>
    <xf numFmtId="49" fontId="24" fillId="0" borderId="0" xfId="0" quotePrefix="1" applyNumberFormat="1" applyFont="1"/>
    <xf numFmtId="0" fontId="0" fillId="3" borderId="18" xfId="0" applyFill="1" applyBorder="1"/>
    <xf numFmtId="0" fontId="0" fillId="3" borderId="16" xfId="0" applyFill="1" applyBorder="1"/>
    <xf numFmtId="0" fontId="0" fillId="3" borderId="19" xfId="0" applyFill="1" applyBorder="1"/>
    <xf numFmtId="0" fontId="0" fillId="3" borderId="20" xfId="0" applyFill="1" applyBorder="1"/>
    <xf numFmtId="0" fontId="25" fillId="3" borderId="21" xfId="0" applyFont="1" applyFill="1" applyBorder="1"/>
    <xf numFmtId="0" fontId="0" fillId="3" borderId="22" xfId="0" applyFill="1" applyBorder="1"/>
    <xf numFmtId="0" fontId="25" fillId="3" borderId="23" xfId="0" applyFont="1" applyFill="1" applyBorder="1"/>
    <xf numFmtId="0" fontId="0" fillId="3" borderId="24" xfId="0" applyFill="1" applyBorder="1"/>
    <xf numFmtId="0" fontId="0" fillId="3" borderId="21" xfId="0" applyFill="1" applyBorder="1"/>
    <xf numFmtId="0" fontId="0" fillId="3" borderId="25" xfId="0" applyFill="1" applyBorder="1"/>
    <xf numFmtId="0" fontId="0" fillId="3" borderId="26" xfId="0" applyFill="1" applyBorder="1"/>
    <xf numFmtId="0" fontId="0" fillId="3" borderId="27" xfId="0" applyFill="1" applyBorder="1"/>
    <xf numFmtId="0" fontId="0" fillId="3" borderId="7" xfId="0" applyFill="1" applyBorder="1"/>
    <xf numFmtId="49" fontId="2" fillId="0" borderId="3" xfId="0" applyNumberFormat="1" applyFont="1" applyBorder="1" applyAlignment="1">
      <alignment vertical="center" wrapText="1"/>
    </xf>
    <xf numFmtId="164" fontId="0" fillId="0" borderId="0" xfId="0" quotePrefix="1" applyNumberFormat="1" applyAlignment="1">
      <alignment horizontal="right"/>
    </xf>
    <xf numFmtId="0" fontId="6" fillId="0" borderId="0" xfId="0" applyFont="1" applyProtection="1">
      <protection locked="0"/>
    </xf>
    <xf numFmtId="0" fontId="1" fillId="0" borderId="0" xfId="0" applyFont="1" applyProtection="1">
      <protection locked="0"/>
    </xf>
    <xf numFmtId="0" fontId="7" fillId="0" borderId="0" xfId="0" applyFont="1" applyProtection="1">
      <protection locked="0"/>
    </xf>
    <xf numFmtId="0" fontId="0" fillId="7" borderId="0" xfId="0" applyFill="1" applyProtection="1">
      <protection locked="0"/>
    </xf>
    <xf numFmtId="0" fontId="4" fillId="0" borderId="18" xfId="0" applyFont="1" applyBorder="1" applyAlignment="1">
      <alignment vertical="center" wrapText="1"/>
    </xf>
    <xf numFmtId="0" fontId="0" fillId="0" borderId="18" xfId="0" applyBorder="1"/>
    <xf numFmtId="0" fontId="4" fillId="2" borderId="4"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0" fillId="0" borderId="0" xfId="0" applyFill="1"/>
    <xf numFmtId="0" fontId="1" fillId="4" borderId="0" xfId="0" applyFont="1" applyFill="1"/>
    <xf numFmtId="0" fontId="22" fillId="0" borderId="0" xfId="0" applyFont="1" applyAlignment="1">
      <alignment vertical="top"/>
    </xf>
    <xf numFmtId="0" fontId="27" fillId="0" borderId="0" xfId="0" applyFont="1" applyAlignment="1">
      <alignment wrapText="1"/>
    </xf>
    <xf numFmtId="0" fontId="28" fillId="0" borderId="0" xfId="0" applyFont="1" applyAlignment="1">
      <alignment wrapText="1"/>
    </xf>
    <xf numFmtId="0" fontId="28" fillId="0" borderId="16" xfId="0" applyFont="1" applyBorder="1" applyAlignment="1">
      <alignment wrapText="1"/>
    </xf>
    <xf numFmtId="0" fontId="29" fillId="0" borderId="0" xfId="0" applyFont="1" applyAlignment="1">
      <alignment wrapText="1"/>
    </xf>
    <xf numFmtId="0" fontId="29" fillId="0" borderId="16" xfId="0" applyFont="1" applyBorder="1" applyAlignment="1">
      <alignment wrapText="1"/>
    </xf>
    <xf numFmtId="0" fontId="28" fillId="8" borderId="16" xfId="0" applyFont="1" applyFill="1" applyBorder="1"/>
    <xf numFmtId="0" fontId="28" fillId="0" borderId="0" xfId="0" applyFont="1"/>
    <xf numFmtId="0" fontId="11" fillId="0" borderId="0" xfId="0" applyFont="1"/>
    <xf numFmtId="0" fontId="28" fillId="0" borderId="16" xfId="0" applyFont="1" applyBorder="1"/>
    <xf numFmtId="0" fontId="30" fillId="0" borderId="0" xfId="0" applyFont="1"/>
    <xf numFmtId="0" fontId="11" fillId="0" borderId="16" xfId="0" applyFont="1" applyBorder="1"/>
    <xf numFmtId="0" fontId="28" fillId="0" borderId="17" xfId="0" applyFont="1" applyBorder="1"/>
    <xf numFmtId="0" fontId="4" fillId="0" borderId="18" xfId="0" applyFont="1" applyBorder="1" applyAlignment="1">
      <alignment vertical="center" wrapText="1"/>
    </xf>
    <xf numFmtId="0" fontId="29" fillId="0" borderId="16" xfId="0" applyFont="1" applyBorder="1" applyAlignment="1">
      <alignment wrapText="1"/>
    </xf>
    <xf numFmtId="0" fontId="28" fillId="8" borderId="0" xfId="0" applyFont="1" applyFill="1" applyAlignment="1">
      <alignment wrapText="1"/>
    </xf>
    <xf numFmtId="0" fontId="28" fillId="0" borderId="16" xfId="0" applyFont="1" applyBorder="1" applyAlignment="1">
      <alignment wrapText="1"/>
    </xf>
    <xf numFmtId="0" fontId="7" fillId="0" borderId="0" xfId="0" applyFont="1" applyFill="1" applyAlignment="1">
      <alignment horizontal="center"/>
    </xf>
    <xf numFmtId="0" fontId="29" fillId="0" borderId="16" xfId="0" applyFont="1" applyBorder="1" applyAlignment="1">
      <alignment wrapText="1"/>
    </xf>
    <xf numFmtId="0" fontId="7" fillId="0" borderId="0" xfId="0" applyFont="1" applyAlignment="1">
      <alignment horizontal="center"/>
    </xf>
    <xf numFmtId="0" fontId="29" fillId="0" borderId="16" xfId="0" applyFont="1" applyBorder="1" applyAlignment="1">
      <alignment wrapText="1"/>
    </xf>
    <xf numFmtId="0" fontId="11" fillId="0" borderId="16" xfId="0" applyFont="1" applyBorder="1" applyAlignment="1">
      <alignment wrapText="1"/>
    </xf>
    <xf numFmtId="0" fontId="28" fillId="0" borderId="29" xfId="0" applyFont="1" applyBorder="1"/>
    <xf numFmtId="0" fontId="9" fillId="0" borderId="17" xfId="0" applyFont="1" applyBorder="1"/>
    <xf numFmtId="0" fontId="9" fillId="0" borderId="16" xfId="0" applyFont="1" applyBorder="1" applyAlignment="1">
      <alignment wrapText="1"/>
    </xf>
    <xf numFmtId="0" fontId="9" fillId="0" borderId="0" xfId="0" applyFont="1" applyAlignment="1">
      <alignment wrapText="1"/>
    </xf>
    <xf numFmtId="0" fontId="9" fillId="0" borderId="16" xfId="0" applyFont="1" applyBorder="1"/>
    <xf numFmtId="0" fontId="3" fillId="0" borderId="0" xfId="1" applyBorder="1" applyAlignment="1"/>
    <xf numFmtId="0" fontId="7" fillId="0" borderId="0" xfId="0" applyFont="1" applyBorder="1"/>
    <xf numFmtId="0" fontId="7" fillId="0" borderId="0" xfId="0" applyFont="1"/>
    <xf numFmtId="0" fontId="7" fillId="0" borderId="0" xfId="0" applyFont="1"/>
    <xf numFmtId="0" fontId="7" fillId="0" borderId="0" xfId="0" applyFont="1" applyFill="1"/>
    <xf numFmtId="0" fontId="7" fillId="2" borderId="0" xfId="0" applyFont="1" applyFill="1" applyAlignment="1">
      <alignment horizontal="center"/>
    </xf>
    <xf numFmtId="0" fontId="28" fillId="0" borderId="16" xfId="0" applyFont="1" applyBorder="1" applyAlignment="1">
      <alignment wrapText="1"/>
    </xf>
    <xf numFmtId="0" fontId="0" fillId="0" borderId="0" xfId="0" applyAlignment="1">
      <alignment vertical="center"/>
    </xf>
    <xf numFmtId="0" fontId="1" fillId="0" borderId="0" xfId="0" applyFont="1" applyAlignment="1">
      <alignment horizontal="center" vertical="center"/>
    </xf>
    <xf numFmtId="0" fontId="31" fillId="9" borderId="0" xfId="0" applyFont="1" applyFill="1" applyAlignment="1">
      <alignment horizontal="center" vertical="center"/>
    </xf>
    <xf numFmtId="0" fontId="1" fillId="9" borderId="0" xfId="0" applyFont="1" applyFill="1" applyAlignment="1">
      <alignment vertical="center"/>
    </xf>
    <xf numFmtId="0" fontId="1" fillId="9" borderId="0" xfId="0" applyFont="1" applyFill="1" applyAlignment="1">
      <alignment horizontal="center" vertical="center"/>
    </xf>
    <xf numFmtId="0" fontId="7" fillId="0" borderId="0" xfId="0" applyFont="1" applyAlignment="1">
      <alignment horizontal="center"/>
    </xf>
    <xf numFmtId="0" fontId="28" fillId="0" borderId="0" xfId="0" applyFont="1" applyAlignment="1">
      <alignment horizontal="left" wrapText="1"/>
    </xf>
    <xf numFmtId="0" fontId="28" fillId="0" borderId="7" xfId="0" applyFont="1" applyBorder="1" applyAlignment="1">
      <alignment horizontal="left" wrapText="1"/>
    </xf>
    <xf numFmtId="0" fontId="9" fillId="0" borderId="17" xfId="0" applyFont="1" applyBorder="1" applyAlignment="1">
      <alignment horizontal="left"/>
    </xf>
    <xf numFmtId="0" fontId="9" fillId="0" borderId="7" xfId="0" applyFont="1" applyBorder="1" applyAlignment="1">
      <alignment horizontal="left"/>
    </xf>
    <xf numFmtId="0" fontId="11" fillId="0" borderId="16" xfId="0" applyFont="1" applyBorder="1" applyAlignment="1">
      <alignment horizontal="left" wrapText="1"/>
    </xf>
    <xf numFmtId="0" fontId="11" fillId="0" borderId="7" xfId="0" applyFont="1" applyBorder="1" applyAlignment="1">
      <alignment horizontal="left" wrapText="1"/>
    </xf>
    <xf numFmtId="0" fontId="29" fillId="0" borderId="16" xfId="0" applyFont="1" applyBorder="1" applyAlignment="1">
      <alignment wrapText="1"/>
    </xf>
    <xf numFmtId="0" fontId="29" fillId="0" borderId="0" xfId="0" applyFont="1" applyBorder="1" applyAlignment="1">
      <alignment wrapText="1"/>
    </xf>
    <xf numFmtId="0" fontId="28" fillId="0" borderId="0" xfId="0" applyFont="1" applyAlignment="1">
      <alignment wrapText="1"/>
    </xf>
    <xf numFmtId="0" fontId="28" fillId="8" borderId="0" xfId="0" applyFont="1" applyFill="1" applyBorder="1" applyAlignment="1">
      <alignment wrapText="1"/>
    </xf>
    <xf numFmtId="0" fontId="28" fillId="0" borderId="16" xfId="0" applyFont="1" applyBorder="1" applyAlignment="1">
      <alignment wrapText="1"/>
    </xf>
    <xf numFmtId="0" fontId="28"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6" sqref="B6"/>
    </sheetView>
  </sheetViews>
  <sheetFormatPr defaultColWidth="8.85546875" defaultRowHeight="15" x14ac:dyDescent="0.25"/>
  <cols>
    <col min="1" max="1" width="24.85546875" bestFit="1" customWidth="1"/>
    <col min="2" max="2" width="235.42578125" bestFit="1" customWidth="1"/>
  </cols>
  <sheetData>
    <row r="1" spans="1:2" x14ac:dyDescent="0.25">
      <c r="A1" s="4" t="s">
        <v>0</v>
      </c>
      <c r="B1" s="4" t="s">
        <v>1</v>
      </c>
    </row>
    <row r="2" spans="1:2" x14ac:dyDescent="0.25">
      <c r="A2" s="5" t="s">
        <v>2</v>
      </c>
      <c r="B2" s="5" t="s">
        <v>3</v>
      </c>
    </row>
    <row r="3" spans="1:2" x14ac:dyDescent="0.25">
      <c r="A3" s="5" t="s">
        <v>4</v>
      </c>
      <c r="B3" s="5" t="s">
        <v>5</v>
      </c>
    </row>
    <row r="4" spans="1:2" ht="15.75" x14ac:dyDescent="0.25">
      <c r="A4" s="7" t="s">
        <v>6</v>
      </c>
      <c r="B4" s="5" t="s">
        <v>7</v>
      </c>
    </row>
    <row r="5" spans="1:2" ht="15.75" x14ac:dyDescent="0.25">
      <c r="A5" s="5" t="s">
        <v>8</v>
      </c>
      <c r="B5" s="7" t="s">
        <v>1448</v>
      </c>
    </row>
    <row r="6" spans="1:2" x14ac:dyDescent="0.25">
      <c r="A6" s="5" t="s">
        <v>9</v>
      </c>
      <c r="B6" s="5" t="s">
        <v>10</v>
      </c>
    </row>
    <row r="7" spans="1:2" x14ac:dyDescent="0.25">
      <c r="A7" s="5" t="s">
        <v>11</v>
      </c>
      <c r="B7" s="109" t="s">
        <v>12</v>
      </c>
    </row>
    <row r="8" spans="1:2" ht="15.75" x14ac:dyDescent="0.25">
      <c r="A8" s="7" t="s">
        <v>13</v>
      </c>
      <c r="B8" s="5" t="s">
        <v>14</v>
      </c>
    </row>
    <row r="9" spans="1:2" x14ac:dyDescent="0.25">
      <c r="A9" s="5" t="s">
        <v>15</v>
      </c>
      <c r="B9" s="5" t="s">
        <v>1398</v>
      </c>
    </row>
    <row r="10" spans="1:2" x14ac:dyDescent="0.25">
      <c r="A10" t="s">
        <v>16</v>
      </c>
      <c r="B10" s="5" t="s">
        <v>1397</v>
      </c>
    </row>
    <row r="11" spans="1:2" ht="15.75" x14ac:dyDescent="0.25">
      <c r="A11" s="7" t="s">
        <v>17</v>
      </c>
      <c r="B11" s="5" t="s">
        <v>1396</v>
      </c>
    </row>
    <row r="12" spans="1:2" x14ac:dyDescent="0.25">
      <c r="A12" t="s">
        <v>18</v>
      </c>
      <c r="B12" t="s">
        <v>1395</v>
      </c>
    </row>
    <row r="13" spans="1:2" x14ac:dyDescent="0.25">
      <c r="A13" t="s">
        <v>19</v>
      </c>
      <c r="B13" t="s">
        <v>20</v>
      </c>
    </row>
    <row r="14" spans="1:2" x14ac:dyDescent="0.25">
      <c r="A14" t="s">
        <v>21</v>
      </c>
      <c r="B14" t="s">
        <v>22</v>
      </c>
    </row>
    <row r="15" spans="1:2" x14ac:dyDescent="0.25">
      <c r="A15" t="s">
        <v>23</v>
      </c>
      <c r="B15" t="s">
        <v>1407</v>
      </c>
    </row>
    <row r="16" spans="1:2" x14ac:dyDescent="0.25">
      <c r="A16" t="s">
        <v>24</v>
      </c>
      <c r="B16" t="s">
        <v>1408</v>
      </c>
    </row>
    <row r="17" spans="1:2" x14ac:dyDescent="0.25">
      <c r="A17" t="s">
        <v>25</v>
      </c>
      <c r="B17" t="s">
        <v>1409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4" sqref="A4"/>
    </sheetView>
  </sheetViews>
  <sheetFormatPr defaultColWidth="8.85546875" defaultRowHeight="15" x14ac:dyDescent="0.25"/>
  <cols>
    <col min="1" max="1" width="27.28515625" bestFit="1" customWidth="1"/>
    <col min="2" max="2" width="57.28515625" bestFit="1" customWidth="1"/>
  </cols>
  <sheetData>
    <row r="1" spans="1:2" x14ac:dyDescent="0.25">
      <c r="A1" s="1" t="s">
        <v>26</v>
      </c>
      <c r="B1" s="1" t="s">
        <v>1</v>
      </c>
    </row>
    <row r="2" spans="1:2" x14ac:dyDescent="0.25">
      <c r="A2" t="s">
        <v>27</v>
      </c>
      <c r="B2" s="5" t="s">
        <v>1318</v>
      </c>
    </row>
    <row r="3" spans="1:2" x14ac:dyDescent="0.25">
      <c r="A3" t="s">
        <v>28</v>
      </c>
      <c r="B3" s="5" t="s">
        <v>29</v>
      </c>
    </row>
    <row r="4" spans="1:2" x14ac:dyDescent="0.25">
      <c r="A4" s="76" t="s">
        <v>30</v>
      </c>
      <c r="B4" s="5" t="s">
        <v>31</v>
      </c>
    </row>
    <row r="5" spans="1:2" x14ac:dyDescent="0.25">
      <c r="A5" t="s">
        <v>1313</v>
      </c>
      <c r="B5" s="5" t="s">
        <v>1315</v>
      </c>
    </row>
    <row r="6" spans="1:2" x14ac:dyDescent="0.25">
      <c r="A6" t="s">
        <v>1314</v>
      </c>
      <c r="B6" s="5" t="s">
        <v>1316</v>
      </c>
    </row>
    <row r="7" spans="1:2" x14ac:dyDescent="0.25">
      <c r="A7" t="s">
        <v>32</v>
      </c>
      <c r="B7" s="5" t="s">
        <v>1317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election activeCell="A2" sqref="A2"/>
    </sheetView>
  </sheetViews>
  <sheetFormatPr defaultColWidth="8.85546875" defaultRowHeight="15" x14ac:dyDescent="0.25"/>
  <cols>
    <col min="1" max="1" width="27.28515625" bestFit="1" customWidth="1"/>
    <col min="2" max="2" width="15.42578125" bestFit="1" customWidth="1"/>
    <col min="3" max="4" width="10.7109375" bestFit="1" customWidth="1"/>
    <col min="5" max="5" width="16.42578125" bestFit="1" customWidth="1"/>
    <col min="6" max="6" width="13.42578125" bestFit="1" customWidth="1"/>
  </cols>
  <sheetData>
    <row r="1" spans="1:6" x14ac:dyDescent="0.25">
      <c r="A1" s="4" t="s">
        <v>43</v>
      </c>
      <c r="B1" s="4" t="s">
        <v>44</v>
      </c>
      <c r="C1" s="4" t="s">
        <v>45</v>
      </c>
      <c r="D1" s="4" t="s">
        <v>46</v>
      </c>
      <c r="E1" s="4" t="s">
        <v>47</v>
      </c>
      <c r="F1" s="4" t="s">
        <v>48</v>
      </c>
    </row>
    <row r="2" spans="1:6" x14ac:dyDescent="0.25">
      <c r="A2" t="s">
        <v>1393</v>
      </c>
      <c r="B2" s="6">
        <v>32</v>
      </c>
      <c r="C2" s="34" t="s">
        <v>49</v>
      </c>
      <c r="D2" s="34" t="s">
        <v>50</v>
      </c>
      <c r="E2" s="32" t="s">
        <v>51</v>
      </c>
      <c r="F2" s="32" t="s">
        <v>52</v>
      </c>
    </row>
    <row r="3" spans="1:6" x14ac:dyDescent="0.25">
      <c r="A3" s="33" t="s">
        <v>53</v>
      </c>
      <c r="B3" s="6">
        <v>16</v>
      </c>
      <c r="C3" s="34" t="s">
        <v>49</v>
      </c>
      <c r="D3" s="34" t="s">
        <v>54</v>
      </c>
      <c r="E3" s="32" t="s">
        <v>52</v>
      </c>
      <c r="F3" s="32" t="s">
        <v>52</v>
      </c>
    </row>
    <row r="4" spans="1:6" x14ac:dyDescent="0.25">
      <c r="A4" s="33" t="s">
        <v>55</v>
      </c>
      <c r="B4">
        <v>16</v>
      </c>
      <c r="C4" s="34" t="s">
        <v>54</v>
      </c>
      <c r="D4" s="67" t="s">
        <v>50</v>
      </c>
      <c r="E4" t="s">
        <v>52</v>
      </c>
      <c r="F4" t="s">
        <v>52</v>
      </c>
    </row>
  </sheetData>
  <phoneticPr fontId="2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C9" sqref="C9"/>
    </sheetView>
  </sheetViews>
  <sheetFormatPr defaultColWidth="8.85546875" defaultRowHeight="15" x14ac:dyDescent="0.25"/>
  <cols>
    <col min="1" max="1" width="15" customWidth="1"/>
    <col min="2" max="2" width="62.42578125" customWidth="1"/>
    <col min="3" max="3" width="50.42578125" customWidth="1"/>
  </cols>
  <sheetData>
    <row r="1" spans="1:3" x14ac:dyDescent="0.25">
      <c r="A1" s="11" t="s">
        <v>33</v>
      </c>
      <c r="B1" s="11" t="s">
        <v>34</v>
      </c>
      <c r="C1" s="11" t="s">
        <v>35</v>
      </c>
    </row>
    <row r="2" spans="1:3" x14ac:dyDescent="0.25">
      <c r="A2" s="16" t="s">
        <v>36</v>
      </c>
      <c r="B2" s="16" t="s">
        <v>37</v>
      </c>
      <c r="C2" s="16" t="s">
        <v>38</v>
      </c>
    </row>
    <row r="3" spans="1:3" ht="25.5" x14ac:dyDescent="0.25">
      <c r="A3" s="16" t="s">
        <v>39</v>
      </c>
      <c r="B3" s="16" t="s">
        <v>1513</v>
      </c>
      <c r="C3" s="16" t="s">
        <v>40</v>
      </c>
    </row>
    <row r="4" spans="1:3" x14ac:dyDescent="0.25">
      <c r="A4" s="16" t="s">
        <v>41</v>
      </c>
      <c r="B4" s="16" t="s">
        <v>1319</v>
      </c>
      <c r="C4" s="16" t="s">
        <v>42</v>
      </c>
    </row>
    <row r="5" spans="1:3" ht="25.5" x14ac:dyDescent="0.25">
      <c r="A5" s="16" t="s">
        <v>1381</v>
      </c>
      <c r="B5" s="16" t="s">
        <v>1382</v>
      </c>
      <c r="C5" s="16" t="s">
        <v>1383</v>
      </c>
    </row>
    <row r="6" spans="1:3" x14ac:dyDescent="0.25">
      <c r="A6" s="16"/>
      <c r="B6" s="16"/>
      <c r="C6" s="16"/>
    </row>
    <row r="7" spans="1:3" x14ac:dyDescent="0.25">
      <c r="A7" s="16"/>
      <c r="B7" s="16"/>
      <c r="C7" s="16"/>
    </row>
    <row r="8" spans="1:3" x14ac:dyDescent="0.25">
      <c r="A8" s="16"/>
      <c r="B8" s="16"/>
      <c r="C8" s="16"/>
    </row>
    <row r="9" spans="1:3" x14ac:dyDescent="0.25">
      <c r="A9" s="16"/>
      <c r="B9" s="16"/>
      <c r="C9" s="16"/>
    </row>
    <row r="10" spans="1:3" x14ac:dyDescent="0.25">
      <c r="A10" s="16"/>
      <c r="B10" s="16"/>
      <c r="C10" s="16"/>
    </row>
    <row r="11" spans="1:3" x14ac:dyDescent="0.25">
      <c r="A11" s="16"/>
      <c r="B11" s="16"/>
      <c r="C11" s="16"/>
    </row>
    <row r="12" spans="1:3" x14ac:dyDescent="0.25">
      <c r="A12" s="17"/>
      <c r="B12" s="17"/>
      <c r="C12" s="1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election activeCell="C8" sqref="C8"/>
    </sheetView>
  </sheetViews>
  <sheetFormatPr defaultColWidth="8.85546875" defaultRowHeight="15" x14ac:dyDescent="0.25"/>
  <cols>
    <col min="1" max="1" width="6.85546875" bestFit="1" customWidth="1"/>
    <col min="2" max="2" width="26.7109375" bestFit="1" customWidth="1"/>
    <col min="3" max="3" width="14.5703125" bestFit="1" customWidth="1"/>
    <col min="4" max="4" width="14.85546875" bestFit="1" customWidth="1"/>
    <col min="5" max="5" width="19.140625" bestFit="1" customWidth="1"/>
    <col min="6" max="6" width="25.28515625" customWidth="1"/>
    <col min="7" max="7" width="7.28515625" bestFit="1" customWidth="1"/>
    <col min="8" max="8" width="12.28515625" bestFit="1" customWidth="1"/>
    <col min="9" max="9" width="20.5703125" bestFit="1" customWidth="1"/>
    <col min="10" max="11" width="23.7109375" bestFit="1" customWidth="1"/>
    <col min="12" max="12" width="18.140625" customWidth="1"/>
  </cols>
  <sheetData>
    <row r="1" spans="1:13" ht="25.9" customHeight="1" x14ac:dyDescent="0.25">
      <c r="A1" s="68" t="s">
        <v>56</v>
      </c>
      <c r="B1" s="68" t="s">
        <v>57</v>
      </c>
      <c r="C1" s="68" t="s">
        <v>58</v>
      </c>
      <c r="D1" s="68" t="s">
        <v>59</v>
      </c>
      <c r="E1" s="68" t="s">
        <v>60</v>
      </c>
      <c r="F1" s="68" t="s">
        <v>61</v>
      </c>
      <c r="G1" s="68" t="s">
        <v>62</v>
      </c>
      <c r="H1" s="68" t="s">
        <v>63</v>
      </c>
      <c r="I1" s="68" t="s">
        <v>64</v>
      </c>
      <c r="J1" s="68" t="s">
        <v>65</v>
      </c>
      <c r="K1" s="68" t="s">
        <v>66</v>
      </c>
      <c r="L1" s="69" t="s">
        <v>67</v>
      </c>
      <c r="M1" s="68" t="s">
        <v>1350</v>
      </c>
    </row>
    <row r="2" spans="1:13" x14ac:dyDescent="0.25">
      <c r="A2" s="70" t="s">
        <v>68</v>
      </c>
      <c r="B2" s="70" t="s">
        <v>69</v>
      </c>
      <c r="C2" s="36">
        <v>1</v>
      </c>
      <c r="D2" s="36">
        <v>1</v>
      </c>
      <c r="E2" s="70">
        <v>1</v>
      </c>
      <c r="F2" s="71" t="str">
        <f t="shared" ref="F2:F10" si="0">IF(D2&gt;0, IF(D2-E2=0,"",D2-E2), IF(E2&gt;0,E2,""))</f>
        <v/>
      </c>
      <c r="G2" s="70"/>
      <c r="H2" s="70"/>
      <c r="I2" s="70"/>
      <c r="J2" s="70"/>
      <c r="K2" s="71" t="str">
        <f t="shared" ref="K2:K10" si="1">IF(SUM(G2:J2)=0,"",SUM(G2:J2))</f>
        <v/>
      </c>
      <c r="L2" s="71" t="str">
        <f t="shared" ref="L2:L10" si="2">IF(C2=D2,"",IF(K2="", "", C2-(D2+K2)))</f>
        <v/>
      </c>
    </row>
    <row r="3" spans="1:13" x14ac:dyDescent="0.25">
      <c r="A3" s="70" t="s">
        <v>68</v>
      </c>
      <c r="B3" s="70" t="s">
        <v>70</v>
      </c>
      <c r="C3" s="36">
        <v>1</v>
      </c>
      <c r="D3" s="36">
        <v>1</v>
      </c>
      <c r="E3" s="70"/>
      <c r="F3" s="71">
        <f t="shared" si="0"/>
        <v>1</v>
      </c>
      <c r="G3" s="70"/>
      <c r="H3" s="70"/>
      <c r="I3" s="70">
        <v>1</v>
      </c>
      <c r="J3" s="70"/>
      <c r="K3" s="71">
        <f t="shared" si="1"/>
        <v>1</v>
      </c>
      <c r="L3" s="71" t="str">
        <f t="shared" si="2"/>
        <v/>
      </c>
    </row>
    <row r="4" spans="1:13" x14ac:dyDescent="0.25">
      <c r="A4" s="70" t="s">
        <v>68</v>
      </c>
      <c r="B4" s="70" t="s">
        <v>71</v>
      </c>
      <c r="C4" s="36"/>
      <c r="D4" s="36"/>
      <c r="E4" s="70"/>
      <c r="F4" s="71" t="str">
        <f t="shared" si="0"/>
        <v/>
      </c>
      <c r="G4" s="70"/>
      <c r="H4" s="70"/>
      <c r="I4" s="70"/>
      <c r="J4" s="70"/>
      <c r="K4" s="71" t="str">
        <f t="shared" si="1"/>
        <v/>
      </c>
      <c r="L4" s="71" t="str">
        <f t="shared" si="2"/>
        <v/>
      </c>
    </row>
    <row r="5" spans="1:13" x14ac:dyDescent="0.25">
      <c r="A5" s="70" t="s">
        <v>68</v>
      </c>
      <c r="B5" s="70" t="s">
        <v>72</v>
      </c>
      <c r="C5" s="36"/>
      <c r="D5" s="36"/>
      <c r="E5" s="70"/>
      <c r="F5" s="71" t="str">
        <f t="shared" si="0"/>
        <v/>
      </c>
      <c r="G5" s="70"/>
      <c r="H5" s="70"/>
      <c r="I5" s="70"/>
      <c r="J5" s="70"/>
      <c r="K5" s="71" t="str">
        <f t="shared" si="1"/>
        <v/>
      </c>
      <c r="L5" s="71" t="str">
        <f t="shared" si="2"/>
        <v/>
      </c>
    </row>
    <row r="6" spans="1:13" x14ac:dyDescent="0.25">
      <c r="A6" s="70" t="s">
        <v>68</v>
      </c>
      <c r="B6" s="70" t="s">
        <v>73</v>
      </c>
      <c r="C6" s="36"/>
      <c r="D6" s="36"/>
      <c r="E6" s="70"/>
      <c r="F6" s="71" t="str">
        <f t="shared" si="0"/>
        <v/>
      </c>
      <c r="G6" s="70"/>
      <c r="H6" s="70"/>
      <c r="I6" s="70"/>
      <c r="J6" s="70"/>
      <c r="K6" s="71" t="str">
        <f t="shared" si="1"/>
        <v/>
      </c>
      <c r="L6" s="71" t="str">
        <f t="shared" si="2"/>
        <v/>
      </c>
    </row>
    <row r="7" spans="1:13" x14ac:dyDescent="0.25">
      <c r="A7" s="70" t="s">
        <v>68</v>
      </c>
      <c r="B7" s="70" t="s">
        <v>74</v>
      </c>
      <c r="C7" s="36">
        <v>11</v>
      </c>
      <c r="D7" s="36">
        <v>2</v>
      </c>
      <c r="E7" s="70">
        <v>2</v>
      </c>
      <c r="F7" s="71" t="str">
        <f t="shared" si="0"/>
        <v/>
      </c>
      <c r="G7" s="70">
        <v>1</v>
      </c>
      <c r="H7" s="70">
        <v>2</v>
      </c>
      <c r="I7" s="70">
        <v>6</v>
      </c>
      <c r="J7" s="70"/>
      <c r="K7" s="71">
        <f t="shared" si="1"/>
        <v>9</v>
      </c>
      <c r="L7" s="71">
        <f t="shared" si="2"/>
        <v>0</v>
      </c>
    </row>
    <row r="8" spans="1:13" x14ac:dyDescent="0.25">
      <c r="A8" s="70" t="s">
        <v>68</v>
      </c>
      <c r="B8" s="70" t="s">
        <v>75</v>
      </c>
      <c r="C8" s="36"/>
      <c r="D8" s="36"/>
      <c r="E8" s="70"/>
      <c r="F8" s="71" t="str">
        <f t="shared" si="0"/>
        <v/>
      </c>
      <c r="G8" s="70"/>
      <c r="H8" s="70"/>
      <c r="I8" s="70"/>
      <c r="J8" s="70"/>
      <c r="K8" s="71" t="str">
        <f t="shared" si="1"/>
        <v/>
      </c>
      <c r="L8" s="71" t="str">
        <f t="shared" si="2"/>
        <v/>
      </c>
    </row>
    <row r="9" spans="1:13" x14ac:dyDescent="0.25">
      <c r="A9" s="70" t="s">
        <v>68</v>
      </c>
      <c r="B9" s="70" t="s">
        <v>76</v>
      </c>
      <c r="C9" s="36">
        <v>2</v>
      </c>
      <c r="D9" s="36">
        <v>2</v>
      </c>
      <c r="E9" s="70">
        <v>2</v>
      </c>
      <c r="F9" s="71" t="str">
        <f t="shared" si="0"/>
        <v/>
      </c>
      <c r="G9" s="70"/>
      <c r="H9" s="70"/>
      <c r="I9" s="70"/>
      <c r="J9" s="70"/>
      <c r="K9" s="71" t="str">
        <f t="shared" si="1"/>
        <v/>
      </c>
      <c r="L9" s="71" t="str">
        <f t="shared" si="2"/>
        <v/>
      </c>
    </row>
    <row r="10" spans="1:13" x14ac:dyDescent="0.25">
      <c r="A10" s="70" t="s">
        <v>68</v>
      </c>
      <c r="B10" s="70" t="s">
        <v>77</v>
      </c>
      <c r="C10" s="36">
        <v>4</v>
      </c>
      <c r="D10" s="36"/>
      <c r="E10" s="70"/>
      <c r="F10" s="71" t="str">
        <f t="shared" si="0"/>
        <v/>
      </c>
      <c r="G10" s="70">
        <v>1</v>
      </c>
      <c r="H10" s="70">
        <v>1</v>
      </c>
      <c r="I10" s="70">
        <v>2</v>
      </c>
      <c r="J10" s="70"/>
      <c r="K10" s="71">
        <f t="shared" si="1"/>
        <v>4</v>
      </c>
      <c r="L10" s="71">
        <f t="shared" si="2"/>
        <v>0</v>
      </c>
      <c r="M10" s="77">
        <f>SUM(D2:D10)+SUM(K2:K10)</f>
        <v>20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zoomScale="110" zoomScaleNormal="110" workbookViewId="0">
      <selection activeCell="U9" sqref="U9"/>
    </sheetView>
  </sheetViews>
  <sheetFormatPr defaultColWidth="8.85546875" defaultRowHeight="15" x14ac:dyDescent="0.25"/>
  <cols>
    <col min="1" max="1" width="10.85546875" bestFit="1" customWidth="1"/>
    <col min="2" max="2" width="28.7109375" bestFit="1" customWidth="1"/>
    <col min="3" max="3" width="36" style="29" customWidth="1"/>
    <col min="4" max="4" width="31.42578125" bestFit="1" customWidth="1"/>
    <col min="5" max="5" width="4.140625" bestFit="1" customWidth="1"/>
    <col min="6" max="6" width="12" bestFit="1" customWidth="1"/>
    <col min="7" max="7" width="14" bestFit="1" customWidth="1"/>
  </cols>
  <sheetData>
    <row r="1" spans="1:7" x14ac:dyDescent="0.25">
      <c r="A1" s="5" t="s">
        <v>78</v>
      </c>
      <c r="B1" s="5" t="s">
        <v>79</v>
      </c>
      <c r="C1" s="28" t="s">
        <v>80</v>
      </c>
      <c r="D1" s="5" t="s">
        <v>81</v>
      </c>
      <c r="E1" s="5" t="s">
        <v>82</v>
      </c>
      <c r="F1" s="5" t="s">
        <v>83</v>
      </c>
      <c r="G1" s="5" t="s">
        <v>84</v>
      </c>
    </row>
    <row r="2" spans="1:7" x14ac:dyDescent="0.25">
      <c r="A2" s="5" t="s">
        <v>1365</v>
      </c>
      <c r="B2" s="5" t="s">
        <v>85</v>
      </c>
      <c r="C2" s="5" t="s">
        <v>69</v>
      </c>
      <c r="D2" s="12" t="s">
        <v>1439</v>
      </c>
      <c r="E2" s="5" t="s">
        <v>86</v>
      </c>
      <c r="F2" s="5" t="s">
        <v>87</v>
      </c>
      <c r="G2" s="5" t="s">
        <v>88</v>
      </c>
    </row>
    <row r="3" spans="1:7" x14ac:dyDescent="0.25">
      <c r="A3" s="5" t="s">
        <v>1365</v>
      </c>
      <c r="B3" s="5" t="s">
        <v>89</v>
      </c>
      <c r="C3" s="5" t="s">
        <v>90</v>
      </c>
      <c r="D3" s="13" t="s">
        <v>1434</v>
      </c>
      <c r="E3" s="5" t="s">
        <v>91</v>
      </c>
      <c r="F3" s="5" t="s">
        <v>87</v>
      </c>
      <c r="G3" s="5" t="s">
        <v>92</v>
      </c>
    </row>
    <row r="4" spans="1:7" x14ac:dyDescent="0.25">
      <c r="A4" s="5" t="s">
        <v>1365</v>
      </c>
      <c r="B4" s="5" t="s">
        <v>93</v>
      </c>
      <c r="C4" s="5" t="s">
        <v>90</v>
      </c>
      <c r="D4" s="13" t="s">
        <v>1435</v>
      </c>
      <c r="E4" s="5" t="s">
        <v>86</v>
      </c>
      <c r="F4" s="5" t="s">
        <v>87</v>
      </c>
      <c r="G4" s="5" t="s">
        <v>88</v>
      </c>
    </row>
    <row r="5" spans="1:7" x14ac:dyDescent="0.25">
      <c r="A5" s="5" t="s">
        <v>1365</v>
      </c>
      <c r="B5" s="5" t="s">
        <v>94</v>
      </c>
      <c r="C5" s="5" t="s">
        <v>95</v>
      </c>
      <c r="D5" s="13" t="s">
        <v>96</v>
      </c>
      <c r="E5" s="5" t="s">
        <v>86</v>
      </c>
      <c r="F5" s="5" t="s">
        <v>87</v>
      </c>
      <c r="G5" s="5" t="s">
        <v>88</v>
      </c>
    </row>
    <row r="6" spans="1:7" x14ac:dyDescent="0.25">
      <c r="A6" s="5" t="s">
        <v>1365</v>
      </c>
      <c r="B6" s="5" t="s">
        <v>97</v>
      </c>
      <c r="C6" s="5" t="s">
        <v>98</v>
      </c>
      <c r="D6" s="13" t="s">
        <v>99</v>
      </c>
      <c r="E6" s="5" t="s">
        <v>86</v>
      </c>
      <c r="F6" s="5" t="s">
        <v>87</v>
      </c>
      <c r="G6" s="5" t="s">
        <v>88</v>
      </c>
    </row>
    <row r="7" spans="1:7" x14ac:dyDescent="0.25">
      <c r="A7" s="5" t="s">
        <v>1365</v>
      </c>
      <c r="B7" s="5" t="s">
        <v>100</v>
      </c>
      <c r="C7" s="5" t="s">
        <v>101</v>
      </c>
      <c r="D7" s="13" t="s">
        <v>1422</v>
      </c>
      <c r="E7" s="5" t="s">
        <v>86</v>
      </c>
      <c r="F7" s="5" t="s">
        <v>102</v>
      </c>
      <c r="G7" s="5" t="s">
        <v>1363</v>
      </c>
    </row>
    <row r="8" spans="1:7" x14ac:dyDescent="0.25">
      <c r="A8" s="5" t="s">
        <v>1365</v>
      </c>
      <c r="B8" s="5" t="s">
        <v>103</v>
      </c>
      <c r="C8" s="5" t="s">
        <v>101</v>
      </c>
      <c r="D8" s="105" t="s">
        <v>1423</v>
      </c>
      <c r="E8" s="106" t="s">
        <v>86</v>
      </c>
      <c r="F8" s="5" t="s">
        <v>102</v>
      </c>
      <c r="G8" s="5" t="s">
        <v>1363</v>
      </c>
    </row>
    <row r="9" spans="1:7" x14ac:dyDescent="0.25">
      <c r="A9" s="5" t="s">
        <v>1365</v>
      </c>
      <c r="B9" s="5" t="s">
        <v>104</v>
      </c>
      <c r="C9" s="5" t="s">
        <v>101</v>
      </c>
      <c r="D9" s="105" t="s">
        <v>1424</v>
      </c>
      <c r="E9" s="106" t="s">
        <v>86</v>
      </c>
      <c r="F9" s="5" t="s">
        <v>102</v>
      </c>
      <c r="G9" s="5" t="s">
        <v>1363</v>
      </c>
    </row>
    <row r="10" spans="1:7" x14ac:dyDescent="0.25">
      <c r="A10" s="5" t="s">
        <v>1365</v>
      </c>
      <c r="B10" s="5" t="s">
        <v>105</v>
      </c>
      <c r="C10" s="5" t="s">
        <v>101</v>
      </c>
      <c r="D10" s="105" t="s">
        <v>1425</v>
      </c>
      <c r="E10" s="106" t="s">
        <v>86</v>
      </c>
      <c r="F10" s="5" t="s">
        <v>102</v>
      </c>
      <c r="G10" s="5" t="s">
        <v>1363</v>
      </c>
    </row>
    <row r="11" spans="1:7" x14ac:dyDescent="0.25">
      <c r="A11" s="5" t="s">
        <v>1365</v>
      </c>
      <c r="B11" s="5" t="s">
        <v>106</v>
      </c>
      <c r="C11" s="5" t="s">
        <v>101</v>
      </c>
      <c r="D11" s="105" t="s">
        <v>1426</v>
      </c>
      <c r="E11" s="106" t="s">
        <v>86</v>
      </c>
      <c r="F11" s="5" t="s">
        <v>102</v>
      </c>
      <c r="G11" s="5" t="s">
        <v>1363</v>
      </c>
    </row>
    <row r="12" spans="1:7" x14ac:dyDescent="0.25">
      <c r="A12" s="5" t="s">
        <v>1365</v>
      </c>
      <c r="B12" s="5" t="s">
        <v>107</v>
      </c>
      <c r="C12" s="5" t="s">
        <v>101</v>
      </c>
      <c r="D12" s="105" t="s">
        <v>1427</v>
      </c>
      <c r="E12" s="106" t="s">
        <v>91</v>
      </c>
      <c r="F12" s="5" t="s">
        <v>102</v>
      </c>
      <c r="G12" s="5" t="s">
        <v>1363</v>
      </c>
    </row>
    <row r="13" spans="1:7" x14ac:dyDescent="0.25">
      <c r="A13" s="5" t="s">
        <v>1365</v>
      </c>
      <c r="B13" s="5" t="s">
        <v>1526</v>
      </c>
      <c r="C13" s="5" t="s">
        <v>101</v>
      </c>
      <c r="D13" s="105" t="s">
        <v>1428</v>
      </c>
      <c r="E13" s="106" t="s">
        <v>91</v>
      </c>
      <c r="F13" s="5" t="s">
        <v>108</v>
      </c>
      <c r="G13" s="5" t="s">
        <v>1364</v>
      </c>
    </row>
    <row r="14" spans="1:7" x14ac:dyDescent="0.25">
      <c r="A14" s="107" t="s">
        <v>1365</v>
      </c>
      <c r="B14" s="5" t="s">
        <v>113</v>
      </c>
      <c r="C14" s="5" t="s">
        <v>114</v>
      </c>
      <c r="D14" s="105" t="s">
        <v>1431</v>
      </c>
      <c r="E14" s="106" t="s">
        <v>86</v>
      </c>
      <c r="F14" s="5" t="s">
        <v>102</v>
      </c>
      <c r="G14" s="5" t="s">
        <v>1363</v>
      </c>
    </row>
    <row r="15" spans="1:7" x14ac:dyDescent="0.25">
      <c r="A15" s="5" t="s">
        <v>1365</v>
      </c>
      <c r="B15" s="5" t="s">
        <v>1527</v>
      </c>
      <c r="C15" s="5" t="s">
        <v>114</v>
      </c>
      <c r="D15" s="105" t="s">
        <v>1528</v>
      </c>
      <c r="E15" s="106" t="s">
        <v>91</v>
      </c>
      <c r="F15" s="5" t="s">
        <v>108</v>
      </c>
      <c r="G15" s="5" t="s">
        <v>1364</v>
      </c>
    </row>
    <row r="16" spans="1:7" x14ac:dyDescent="0.25">
      <c r="A16" s="5" t="s">
        <v>1365</v>
      </c>
      <c r="B16" s="5" t="s">
        <v>1414</v>
      </c>
      <c r="C16" s="5" t="s">
        <v>101</v>
      </c>
      <c r="D16" s="25" t="s">
        <v>1418</v>
      </c>
      <c r="E16" s="106" t="s">
        <v>86</v>
      </c>
      <c r="F16" s="5" t="s">
        <v>1436</v>
      </c>
      <c r="G16" s="5" t="s">
        <v>1413</v>
      </c>
    </row>
    <row r="17" spans="1:7" x14ac:dyDescent="0.25">
      <c r="A17" s="5" t="s">
        <v>1365</v>
      </c>
      <c r="B17" s="5" t="s">
        <v>1415</v>
      </c>
      <c r="C17" s="5" t="s">
        <v>101</v>
      </c>
      <c r="D17" s="25" t="s">
        <v>1419</v>
      </c>
      <c r="E17" s="106" t="s">
        <v>91</v>
      </c>
      <c r="F17" s="108" t="s">
        <v>1436</v>
      </c>
      <c r="G17" s="5" t="s">
        <v>1413</v>
      </c>
    </row>
    <row r="18" spans="1:7" x14ac:dyDescent="0.25">
      <c r="A18" s="5" t="s">
        <v>1365</v>
      </c>
      <c r="B18" s="5" t="s">
        <v>1416</v>
      </c>
      <c r="C18" s="5" t="s">
        <v>101</v>
      </c>
      <c r="D18" s="25" t="s">
        <v>1420</v>
      </c>
      <c r="E18" s="106" t="s">
        <v>86</v>
      </c>
      <c r="F18" s="108" t="s">
        <v>1436</v>
      </c>
      <c r="G18" s="5" t="s">
        <v>1413</v>
      </c>
    </row>
    <row r="19" spans="1:7" x14ac:dyDescent="0.25">
      <c r="A19" s="5" t="s">
        <v>1365</v>
      </c>
      <c r="B19" s="5" t="s">
        <v>1417</v>
      </c>
      <c r="C19" s="5" t="s">
        <v>101</v>
      </c>
      <c r="D19" s="25" t="s">
        <v>1421</v>
      </c>
      <c r="E19" s="106" t="s">
        <v>91</v>
      </c>
      <c r="F19" s="108" t="s">
        <v>1436</v>
      </c>
      <c r="G19" s="5" t="s">
        <v>1413</v>
      </c>
    </row>
    <row r="20" spans="1:7" x14ac:dyDescent="0.25">
      <c r="A20" s="5" t="s">
        <v>1366</v>
      </c>
      <c r="B20" s="5" t="s">
        <v>109</v>
      </c>
      <c r="C20" s="5" t="s">
        <v>110</v>
      </c>
      <c r="D20" s="25" t="s">
        <v>1410</v>
      </c>
      <c r="E20" s="106" t="s">
        <v>91</v>
      </c>
      <c r="F20" s="5" t="s">
        <v>102</v>
      </c>
      <c r="G20" s="5" t="s">
        <v>1363</v>
      </c>
    </row>
    <row r="21" spans="1:7" x14ac:dyDescent="0.25">
      <c r="A21" s="5" t="s">
        <v>1366</v>
      </c>
      <c r="B21" s="5" t="s">
        <v>111</v>
      </c>
      <c r="C21" s="5" t="s">
        <v>101</v>
      </c>
      <c r="D21" s="105" t="s">
        <v>1429</v>
      </c>
      <c r="E21" s="106" t="s">
        <v>91</v>
      </c>
      <c r="F21" s="5" t="s">
        <v>102</v>
      </c>
      <c r="G21" s="5" t="s">
        <v>1363</v>
      </c>
    </row>
    <row r="22" spans="1:7" x14ac:dyDescent="0.25">
      <c r="A22" s="5" t="s">
        <v>1366</v>
      </c>
      <c r="B22" s="5" t="s">
        <v>112</v>
      </c>
      <c r="C22" s="5" t="s">
        <v>101</v>
      </c>
      <c r="D22" s="105" t="s">
        <v>1430</v>
      </c>
      <c r="E22" s="106" t="s">
        <v>86</v>
      </c>
      <c r="F22" s="5" t="s">
        <v>102</v>
      </c>
      <c r="G22" s="5" t="s">
        <v>1363</v>
      </c>
    </row>
    <row r="23" spans="1:7" x14ac:dyDescent="0.25">
      <c r="A23" s="5" t="s">
        <v>1366</v>
      </c>
      <c r="B23" s="5" t="s">
        <v>115</v>
      </c>
      <c r="C23" s="5" t="s">
        <v>114</v>
      </c>
      <c r="D23" s="105" t="s">
        <v>1433</v>
      </c>
      <c r="E23" s="106" t="s">
        <v>91</v>
      </c>
      <c r="F23" s="5" t="s">
        <v>102</v>
      </c>
      <c r="G23" s="5" t="s">
        <v>1363</v>
      </c>
    </row>
    <row r="24" spans="1:7" x14ac:dyDescent="0.25">
      <c r="A24" s="5" t="s">
        <v>1367</v>
      </c>
      <c r="B24" s="5" t="s">
        <v>116</v>
      </c>
      <c r="C24" s="5" t="s">
        <v>110</v>
      </c>
      <c r="D24" s="25" t="s">
        <v>1362</v>
      </c>
      <c r="E24" s="106" t="s">
        <v>86</v>
      </c>
      <c r="F24" s="108" t="s">
        <v>102</v>
      </c>
      <c r="G24" s="5" t="s">
        <v>1363</v>
      </c>
    </row>
    <row r="25" spans="1:7" x14ac:dyDescent="0.25">
      <c r="A25" s="5" t="s">
        <v>1367</v>
      </c>
      <c r="B25" s="5" t="s">
        <v>117</v>
      </c>
      <c r="C25" s="5" t="s">
        <v>101</v>
      </c>
      <c r="D25" s="25" t="s">
        <v>1411</v>
      </c>
      <c r="E25" s="106" t="s">
        <v>86</v>
      </c>
      <c r="F25" s="108" t="s">
        <v>102</v>
      </c>
      <c r="G25" s="5" t="s">
        <v>1363</v>
      </c>
    </row>
    <row r="26" spans="1:7" x14ac:dyDescent="0.25">
      <c r="A26" s="5" t="s">
        <v>1367</v>
      </c>
      <c r="B26" s="5" t="s">
        <v>118</v>
      </c>
      <c r="C26" s="5" t="s">
        <v>101</v>
      </c>
      <c r="D26" s="105" t="s">
        <v>1432</v>
      </c>
      <c r="E26" s="106" t="s">
        <v>86</v>
      </c>
      <c r="F26" s="108" t="s">
        <v>102</v>
      </c>
      <c r="G26" s="5" t="s">
        <v>1363</v>
      </c>
    </row>
    <row r="27" spans="1:7" x14ac:dyDescent="0.25">
      <c r="A27" s="5" t="s">
        <v>1367</v>
      </c>
      <c r="B27" s="5" t="s">
        <v>112</v>
      </c>
      <c r="C27" s="5" t="s">
        <v>114</v>
      </c>
      <c r="D27" s="105" t="s">
        <v>1430</v>
      </c>
      <c r="E27" s="106" t="s">
        <v>86</v>
      </c>
      <c r="F27" s="108" t="s">
        <v>102</v>
      </c>
      <c r="G27" s="5" t="s">
        <v>1363</v>
      </c>
    </row>
    <row r="28" spans="1:7" x14ac:dyDescent="0.25">
      <c r="A28" s="5"/>
      <c r="B28" s="5"/>
      <c r="C28" s="5"/>
      <c r="E28" s="5"/>
      <c r="F28" s="5"/>
      <c r="G28" s="5"/>
    </row>
    <row r="29" spans="1:7" x14ac:dyDescent="0.25">
      <c r="A29" s="5"/>
      <c r="B29" s="5"/>
      <c r="C29" s="5"/>
      <c r="E29" s="5"/>
      <c r="F29" s="5"/>
      <c r="G29" s="5"/>
    </row>
    <row r="30" spans="1:7" x14ac:dyDescent="0.25">
      <c r="A30" s="5"/>
      <c r="B30" s="5"/>
      <c r="C30" s="5"/>
      <c r="E30" s="5"/>
      <c r="F30" s="5"/>
      <c r="G30" s="5"/>
    </row>
    <row r="31" spans="1:7" ht="15.75" customHeight="1" x14ac:dyDescent="0.25">
      <c r="A31" s="5"/>
      <c r="B31" s="5"/>
      <c r="C31" s="5"/>
      <c r="E31" s="5"/>
      <c r="F31" s="5"/>
      <c r="G31" s="5"/>
    </row>
    <row r="32" spans="1:7" ht="15.75" customHeight="1" x14ac:dyDescent="0.25">
      <c r="A32" s="35"/>
    </row>
    <row r="33" spans="1:7" x14ac:dyDescent="0.25">
      <c r="A33" s="15"/>
      <c r="B33" s="15"/>
      <c r="C33" s="26"/>
      <c r="D33" s="14"/>
      <c r="E33" s="5"/>
      <c r="F33" s="14"/>
      <c r="G33" s="5"/>
    </row>
    <row r="34" spans="1:7" x14ac:dyDescent="0.25">
      <c r="A34" s="15"/>
      <c r="B34" s="15"/>
      <c r="C34" s="26"/>
      <c r="D34" s="14"/>
      <c r="E34" s="5"/>
      <c r="F34" s="5"/>
      <c r="G34" s="5"/>
    </row>
    <row r="35" spans="1:7" x14ac:dyDescent="0.25">
      <c r="A35" s="15"/>
      <c r="B35" s="23"/>
      <c r="C35" s="26"/>
      <c r="D35" s="24"/>
      <c r="E35" s="5"/>
      <c r="F35" s="5"/>
      <c r="G35" s="5"/>
    </row>
    <row r="36" spans="1:7" x14ac:dyDescent="0.25">
      <c r="A36" s="15"/>
      <c r="B36" s="23"/>
      <c r="C36" s="26"/>
      <c r="D36" s="24"/>
      <c r="E36" s="5"/>
      <c r="F36" s="5"/>
      <c r="G36" s="5"/>
    </row>
    <row r="37" spans="1:7" x14ac:dyDescent="0.25">
      <c r="A37" s="15"/>
      <c r="B37" s="15"/>
      <c r="C37" s="26"/>
      <c r="D37" s="24"/>
      <c r="E37" s="5"/>
      <c r="F37" s="5"/>
      <c r="G37" s="5"/>
    </row>
    <row r="38" spans="1:7" x14ac:dyDescent="0.25">
      <c r="A38" s="15"/>
      <c r="B38" s="15"/>
      <c r="C38" s="26"/>
      <c r="D38" s="14"/>
      <c r="E38" s="5"/>
      <c r="F38" s="5"/>
      <c r="G38" s="5"/>
    </row>
    <row r="39" spans="1:7" x14ac:dyDescent="0.25">
      <c r="A39" s="15"/>
      <c r="B39" s="15"/>
      <c r="C39" s="26"/>
      <c r="D39" s="14"/>
      <c r="E39" s="5"/>
      <c r="F39" s="5"/>
      <c r="G39" s="5"/>
    </row>
    <row r="40" spans="1:7" x14ac:dyDescent="0.25">
      <c r="A40" s="15"/>
      <c r="B40" s="15"/>
      <c r="C40" s="26"/>
      <c r="D40" s="14"/>
      <c r="E40" s="5"/>
      <c r="F40" s="5"/>
      <c r="G40" s="5"/>
    </row>
    <row r="41" spans="1:7" x14ac:dyDescent="0.25">
      <c r="A41" s="15"/>
      <c r="B41" s="15"/>
      <c r="C41" s="26"/>
      <c r="D41" s="14"/>
      <c r="E41" s="5"/>
      <c r="F41" s="5"/>
      <c r="G41" s="5"/>
    </row>
    <row r="42" spans="1:7" x14ac:dyDescent="0.25">
      <c r="A42" s="15"/>
      <c r="B42" s="23"/>
      <c r="C42" s="26"/>
      <c r="D42" s="24"/>
      <c r="E42" s="5"/>
      <c r="F42" s="5"/>
      <c r="G42" s="5"/>
    </row>
    <row r="43" spans="1:7" x14ac:dyDescent="0.25">
      <c r="A43" s="15"/>
      <c r="B43" s="23"/>
      <c r="C43" s="26"/>
      <c r="D43" s="14"/>
      <c r="E43" s="5"/>
      <c r="F43" s="5"/>
      <c r="G43" s="5"/>
    </row>
    <row r="44" spans="1:7" x14ac:dyDescent="0.25">
      <c r="A44" s="15"/>
      <c r="B44" s="15"/>
      <c r="C44" s="26"/>
      <c r="D44" s="14"/>
      <c r="E44" s="5"/>
      <c r="F44" s="5"/>
      <c r="G44" s="5"/>
    </row>
    <row r="45" spans="1:7" x14ac:dyDescent="0.25">
      <c r="A45" s="15"/>
      <c r="B45" s="23"/>
      <c r="C45" s="26"/>
      <c r="D45" s="24"/>
      <c r="E45" s="5"/>
      <c r="F45" s="5"/>
      <c r="G45" s="5"/>
    </row>
    <row r="46" spans="1:7" x14ac:dyDescent="0.25">
      <c r="A46" s="15"/>
      <c r="B46" s="15"/>
      <c r="C46" s="26"/>
      <c r="D46" s="14"/>
      <c r="E46" s="5"/>
      <c r="F46" s="5"/>
      <c r="G46" s="5"/>
    </row>
    <row r="47" spans="1:7" x14ac:dyDescent="0.25">
      <c r="A47" s="15"/>
      <c r="B47" s="15"/>
      <c r="C47" s="26"/>
      <c r="D47" s="14"/>
      <c r="E47" s="5"/>
      <c r="F47" s="5"/>
      <c r="G47" s="5"/>
    </row>
    <row r="48" spans="1:7" x14ac:dyDescent="0.25">
      <c r="A48" s="15"/>
      <c r="B48" s="23"/>
      <c r="C48" s="27"/>
      <c r="D48" s="14"/>
      <c r="E48" s="5"/>
      <c r="F48" s="5"/>
      <c r="G48" s="5"/>
    </row>
    <row r="49" spans="1:7" x14ac:dyDescent="0.25">
      <c r="A49" s="15"/>
      <c r="B49" s="5"/>
      <c r="C49" s="27"/>
      <c r="D49" s="24"/>
      <c r="E49" s="5"/>
      <c r="F49" s="5"/>
      <c r="G49" s="5"/>
    </row>
    <row r="50" spans="1:7" x14ac:dyDescent="0.25">
      <c r="A50" s="5"/>
      <c r="B50" s="30"/>
      <c r="C50" s="27"/>
      <c r="D50" s="24"/>
      <c r="E50" s="5"/>
      <c r="F50" s="5"/>
      <c r="G50" s="5"/>
    </row>
    <row r="51" spans="1:7" x14ac:dyDescent="0.25">
      <c r="A51" s="5"/>
      <c r="B51" s="23"/>
      <c r="C51" s="27"/>
      <c r="E51" s="5"/>
      <c r="F51" s="5"/>
      <c r="G51" s="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B333-50A2-4CAA-8317-BF28EB7B36A2}">
  <dimension ref="A1:E32"/>
  <sheetViews>
    <sheetView workbookViewId="0">
      <selection activeCell="A15" sqref="A15:XFD16"/>
    </sheetView>
  </sheetViews>
  <sheetFormatPr defaultColWidth="8.85546875" defaultRowHeight="15" x14ac:dyDescent="0.25"/>
  <cols>
    <col min="1" max="1" width="26" bestFit="1" customWidth="1"/>
    <col min="2" max="2" width="62.28515625" customWidth="1"/>
    <col min="3" max="3" width="48" bestFit="1" customWidth="1"/>
    <col min="4" max="4" width="65.28515625" bestFit="1" customWidth="1"/>
    <col min="5" max="5" width="22.140625" bestFit="1" customWidth="1"/>
  </cols>
  <sheetData>
    <row r="1" spans="1:5" x14ac:dyDescent="0.25">
      <c r="A1" s="1" t="s">
        <v>1475</v>
      </c>
      <c r="B1" s="1" t="s">
        <v>1476</v>
      </c>
      <c r="C1" s="1" t="s">
        <v>1477</v>
      </c>
      <c r="D1" s="113" t="s">
        <v>1478</v>
      </c>
      <c r="E1" s="1" t="s">
        <v>1498</v>
      </c>
    </row>
    <row r="2" spans="1:5" x14ac:dyDescent="0.25">
      <c r="A2" s="21">
        <v>3587</v>
      </c>
      <c r="B2" s="112" t="s">
        <v>1451</v>
      </c>
      <c r="C2" s="112" t="s">
        <v>1452</v>
      </c>
      <c r="D2" s="21" t="s">
        <v>1499</v>
      </c>
      <c r="E2" s="21" t="s">
        <v>1509</v>
      </c>
    </row>
    <row r="3" spans="1:5" x14ac:dyDescent="0.25">
      <c r="A3" s="21">
        <v>3588</v>
      </c>
      <c r="B3" s="112" t="s">
        <v>1453</v>
      </c>
      <c r="C3" s="112" t="s">
        <v>1454</v>
      </c>
      <c r="D3" s="21" t="s">
        <v>1499</v>
      </c>
      <c r="E3" s="21" t="s">
        <v>1509</v>
      </c>
    </row>
    <row r="4" spans="1:5" x14ac:dyDescent="0.25">
      <c r="A4" s="21">
        <v>3596</v>
      </c>
      <c r="B4" s="112" t="s">
        <v>1455</v>
      </c>
      <c r="C4" s="112" t="s">
        <v>1455</v>
      </c>
      <c r="D4" s="21" t="s">
        <v>1499</v>
      </c>
      <c r="E4" s="21" t="s">
        <v>1509</v>
      </c>
    </row>
    <row r="5" spans="1:5" x14ac:dyDescent="0.25">
      <c r="A5" s="21">
        <v>3597</v>
      </c>
      <c r="B5" s="112" t="s">
        <v>1456</v>
      </c>
      <c r="C5" s="112" t="s">
        <v>1457</v>
      </c>
      <c r="D5" s="21" t="s">
        <v>1499</v>
      </c>
      <c r="E5" s="21" t="s">
        <v>1509</v>
      </c>
    </row>
    <row r="6" spans="1:5" x14ac:dyDescent="0.25">
      <c r="A6" s="21">
        <v>3598</v>
      </c>
      <c r="B6" s="112" t="s">
        <v>1458</v>
      </c>
      <c r="C6" s="112" t="s">
        <v>1459</v>
      </c>
      <c r="D6" s="21" t="s">
        <v>1500</v>
      </c>
      <c r="E6" s="21" t="s">
        <v>1509</v>
      </c>
    </row>
    <row r="7" spans="1:5" x14ac:dyDescent="0.25">
      <c r="A7" s="21">
        <v>3599</v>
      </c>
      <c r="B7" s="112" t="s">
        <v>1460</v>
      </c>
      <c r="C7" s="112" t="s">
        <v>1461</v>
      </c>
      <c r="D7" s="21" t="s">
        <v>1500</v>
      </c>
      <c r="E7" s="21" t="s">
        <v>1509</v>
      </c>
    </row>
    <row r="8" spans="1:5" x14ac:dyDescent="0.25">
      <c r="A8" s="21">
        <v>3031</v>
      </c>
      <c r="B8" s="112" t="s">
        <v>1462</v>
      </c>
      <c r="C8" s="112" t="s">
        <v>1463</v>
      </c>
      <c r="D8" s="21" t="s">
        <v>1499</v>
      </c>
      <c r="E8" s="21" t="s">
        <v>1509</v>
      </c>
    </row>
    <row r="9" spans="1:5" x14ac:dyDescent="0.25">
      <c r="A9" s="21">
        <v>3032</v>
      </c>
      <c r="B9" s="112" t="s">
        <v>1464</v>
      </c>
      <c r="C9" s="112" t="s">
        <v>1465</v>
      </c>
      <c r="D9" s="21" t="s">
        <v>1499</v>
      </c>
      <c r="E9" s="21" t="s">
        <v>1509</v>
      </c>
    </row>
    <row r="10" spans="1:5" x14ac:dyDescent="0.25">
      <c r="A10" s="21">
        <v>3033</v>
      </c>
      <c r="B10" s="112" t="s">
        <v>1466</v>
      </c>
      <c r="C10" s="112" t="s">
        <v>1467</v>
      </c>
      <c r="D10" s="21" t="s">
        <v>1499</v>
      </c>
      <c r="E10" s="21" t="s">
        <v>1509</v>
      </c>
    </row>
    <row r="11" spans="1:5" x14ac:dyDescent="0.25">
      <c r="A11" s="21">
        <v>3034</v>
      </c>
      <c r="B11" s="112" t="s">
        <v>1468</v>
      </c>
      <c r="C11" s="112" t="s">
        <v>1469</v>
      </c>
      <c r="D11" s="21" t="s">
        <v>1499</v>
      </c>
      <c r="E11" s="21" t="s">
        <v>1509</v>
      </c>
    </row>
    <row r="12" spans="1:5" x14ac:dyDescent="0.25">
      <c r="A12" s="21">
        <v>3548</v>
      </c>
      <c r="B12" s="112" t="s">
        <v>1470</v>
      </c>
      <c r="C12" s="112" t="s">
        <v>1471</v>
      </c>
      <c r="D12" s="21" t="s">
        <v>1499</v>
      </c>
      <c r="E12" s="21" t="s">
        <v>1509</v>
      </c>
    </row>
    <row r="13" spans="1:5" x14ac:dyDescent="0.25">
      <c r="A13" s="21">
        <v>3549</v>
      </c>
      <c r="B13" s="112" t="s">
        <v>1472</v>
      </c>
      <c r="C13" s="112" t="s">
        <v>1471</v>
      </c>
      <c r="D13" s="21" t="s">
        <v>1499</v>
      </c>
      <c r="E13" s="21" t="s">
        <v>1509</v>
      </c>
    </row>
    <row r="14" spans="1:5" x14ac:dyDescent="0.25">
      <c r="A14" s="21">
        <v>3136</v>
      </c>
      <c r="B14" s="112" t="s">
        <v>1473</v>
      </c>
      <c r="C14" s="112" t="s">
        <v>1474</v>
      </c>
      <c r="D14" s="21" t="s">
        <v>1499</v>
      </c>
      <c r="E14" s="21" t="s">
        <v>1509</v>
      </c>
    </row>
    <row r="15" spans="1:5" x14ac:dyDescent="0.25">
      <c r="A15" s="21">
        <v>2105</v>
      </c>
      <c r="B15" s="112" t="s">
        <v>1479</v>
      </c>
      <c r="C15" s="112" t="s">
        <v>1480</v>
      </c>
      <c r="D15" s="21" t="s">
        <v>1494</v>
      </c>
      <c r="E15" s="21" t="s">
        <v>1509</v>
      </c>
    </row>
    <row r="16" spans="1:5" x14ac:dyDescent="0.25">
      <c r="A16" s="21">
        <v>2121</v>
      </c>
      <c r="B16" s="112" t="s">
        <v>1481</v>
      </c>
      <c r="C16" s="112" t="s">
        <v>1481</v>
      </c>
      <c r="D16" s="21" t="s">
        <v>1494</v>
      </c>
      <c r="E16" s="21" t="s">
        <v>1509</v>
      </c>
    </row>
    <row r="17" spans="1:5" x14ac:dyDescent="0.25">
      <c r="A17" s="21">
        <v>2133</v>
      </c>
      <c r="B17" s="112" t="s">
        <v>1482</v>
      </c>
      <c r="C17" s="112" t="s">
        <v>1482</v>
      </c>
      <c r="D17" s="21" t="s">
        <v>1494</v>
      </c>
      <c r="E17" s="21" t="s">
        <v>1509</v>
      </c>
    </row>
    <row r="18" spans="1:5" x14ac:dyDescent="0.25">
      <c r="A18" s="21">
        <v>2152</v>
      </c>
      <c r="B18" s="112" t="s">
        <v>1483</v>
      </c>
      <c r="C18" s="112" t="s">
        <v>1483</v>
      </c>
      <c r="D18" s="21" t="s">
        <v>1494</v>
      </c>
      <c r="E18" s="21" t="s">
        <v>1509</v>
      </c>
    </row>
    <row r="19" spans="1:5" x14ac:dyDescent="0.25">
      <c r="A19" s="21">
        <v>2154</v>
      </c>
      <c r="B19" s="112" t="s">
        <v>1484</v>
      </c>
      <c r="C19" s="112" t="s">
        <v>1484</v>
      </c>
      <c r="D19" s="21" t="s">
        <v>1494</v>
      </c>
      <c r="E19" s="21" t="s">
        <v>1509</v>
      </c>
    </row>
    <row r="20" spans="1:5" x14ac:dyDescent="0.25">
      <c r="A20" s="21">
        <v>2314</v>
      </c>
      <c r="B20" s="112" t="s">
        <v>1485</v>
      </c>
      <c r="C20" s="112" t="s">
        <v>1485</v>
      </c>
      <c r="D20" s="21" t="s">
        <v>1494</v>
      </c>
      <c r="E20" s="21" t="s">
        <v>1509</v>
      </c>
    </row>
    <row r="21" spans="1:5" x14ac:dyDescent="0.25">
      <c r="A21" s="21">
        <v>2375</v>
      </c>
      <c r="B21" s="112" t="s">
        <v>1486</v>
      </c>
      <c r="C21" s="112" t="s">
        <v>1486</v>
      </c>
      <c r="D21" s="21" t="s">
        <v>1495</v>
      </c>
      <c r="E21" s="21" t="s">
        <v>1509</v>
      </c>
    </row>
    <row r="22" spans="1:5" x14ac:dyDescent="0.25">
      <c r="A22" s="21">
        <v>2410</v>
      </c>
      <c r="B22" s="112" t="s">
        <v>1487</v>
      </c>
      <c r="C22" s="112" t="s">
        <v>1488</v>
      </c>
      <c r="D22" s="21" t="s">
        <v>1496</v>
      </c>
      <c r="E22" s="21" t="s">
        <v>1509</v>
      </c>
    </row>
    <row r="23" spans="1:5" x14ac:dyDescent="0.25">
      <c r="A23" s="21">
        <v>2502</v>
      </c>
      <c r="B23" s="112" t="s">
        <v>1489</v>
      </c>
      <c r="C23" s="112" t="s">
        <v>1490</v>
      </c>
      <c r="D23" s="21" t="s">
        <v>1497</v>
      </c>
      <c r="E23" s="21" t="s">
        <v>1509</v>
      </c>
    </row>
    <row r="24" spans="1:5" x14ac:dyDescent="0.25">
      <c r="A24" s="21">
        <v>7114</v>
      </c>
      <c r="B24" s="112" t="s">
        <v>1491</v>
      </c>
      <c r="C24" s="112" t="s">
        <v>1491</v>
      </c>
      <c r="D24" s="21" t="s">
        <v>1508</v>
      </c>
      <c r="E24" s="21" t="s">
        <v>1509</v>
      </c>
    </row>
    <row r="25" spans="1:5" x14ac:dyDescent="0.25">
      <c r="A25" s="21" t="s">
        <v>1492</v>
      </c>
      <c r="B25" s="112" t="s">
        <v>1506</v>
      </c>
      <c r="C25" s="112"/>
      <c r="D25" s="21" t="s">
        <v>1507</v>
      </c>
      <c r="E25" s="21" t="s">
        <v>1510</v>
      </c>
    </row>
    <row r="26" spans="1:5" x14ac:dyDescent="0.25">
      <c r="A26" s="21" t="s">
        <v>1492</v>
      </c>
      <c r="B26" s="112" t="s">
        <v>147</v>
      </c>
      <c r="C26" s="112"/>
      <c r="D26" s="21" t="s">
        <v>72</v>
      </c>
      <c r="E26" s="21" t="s">
        <v>1510</v>
      </c>
    </row>
    <row r="27" spans="1:5" x14ac:dyDescent="0.25">
      <c r="A27" s="21" t="s">
        <v>1492</v>
      </c>
      <c r="B27" s="112" t="s">
        <v>1493</v>
      </c>
      <c r="C27" s="112"/>
      <c r="D27" s="21" t="s">
        <v>72</v>
      </c>
      <c r="E27" s="21" t="s">
        <v>1510</v>
      </c>
    </row>
    <row r="28" spans="1:5" x14ac:dyDescent="0.25">
      <c r="A28" s="114" t="s">
        <v>1501</v>
      </c>
      <c r="B28" s="115" t="s">
        <v>1450</v>
      </c>
      <c r="C28" s="115"/>
      <c r="D28" s="116" t="s">
        <v>1449</v>
      </c>
      <c r="E28" s="114" t="s">
        <v>1511</v>
      </c>
    </row>
    <row r="29" spans="1:5" x14ac:dyDescent="0.25">
      <c r="A29" s="21" t="s">
        <v>1492</v>
      </c>
      <c r="B29" s="112" t="s">
        <v>1502</v>
      </c>
      <c r="C29" s="112"/>
      <c r="D29" s="21" t="s">
        <v>1504</v>
      </c>
      <c r="E29" s="21" t="s">
        <v>1510</v>
      </c>
    </row>
    <row r="30" spans="1:5" x14ac:dyDescent="0.25">
      <c r="A30" s="21" t="s">
        <v>1492</v>
      </c>
      <c r="B30" s="112" t="s">
        <v>1503</v>
      </c>
      <c r="C30" s="112"/>
      <c r="D30" s="21" t="s">
        <v>1505</v>
      </c>
      <c r="E30" s="21" t="s">
        <v>1510</v>
      </c>
    </row>
    <row r="31" spans="1:5" x14ac:dyDescent="0.25">
      <c r="A31" s="21" t="s">
        <v>1492</v>
      </c>
      <c r="B31" s="112" t="s">
        <v>1444</v>
      </c>
      <c r="C31" s="112"/>
      <c r="D31" s="21" t="s">
        <v>121</v>
      </c>
      <c r="E31" s="21" t="s">
        <v>1510</v>
      </c>
    </row>
    <row r="32" spans="1:5" x14ac:dyDescent="0.25">
      <c r="A32" s="21" t="s">
        <v>1492</v>
      </c>
      <c r="B32" s="112"/>
      <c r="C32" s="112"/>
      <c r="D32" s="21" t="s">
        <v>120</v>
      </c>
      <c r="E32" s="21" t="s">
        <v>1512</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workbookViewId="0">
      <selection activeCell="B30" sqref="B30"/>
    </sheetView>
  </sheetViews>
  <sheetFormatPr defaultColWidth="8.85546875" defaultRowHeight="15" x14ac:dyDescent="0.25"/>
  <cols>
    <col min="1" max="1" width="21.140625" bestFit="1" customWidth="1"/>
    <col min="2" max="2" width="26.7109375" bestFit="1" customWidth="1"/>
    <col min="3" max="3" width="15.140625" bestFit="1" customWidth="1"/>
    <col min="4" max="4" width="25" bestFit="1" customWidth="1"/>
    <col min="5" max="5" width="12.85546875" bestFit="1" customWidth="1"/>
    <col min="6" max="6" width="19.42578125" bestFit="1" customWidth="1"/>
    <col min="7" max="7" width="26.140625" bestFit="1" customWidth="1"/>
    <col min="8" max="8" width="31.85546875" bestFit="1" customWidth="1"/>
  </cols>
  <sheetData>
    <row r="1" spans="1:8" x14ac:dyDescent="0.25">
      <c r="A1" s="1" t="s">
        <v>122</v>
      </c>
      <c r="B1" s="1" t="s">
        <v>123</v>
      </c>
      <c r="C1" s="1" t="s">
        <v>124</v>
      </c>
      <c r="D1" s="1" t="s">
        <v>125</v>
      </c>
      <c r="E1" s="1" t="s">
        <v>126</v>
      </c>
      <c r="F1" s="1" t="s">
        <v>127</v>
      </c>
      <c r="G1" s="1" t="s">
        <v>128</v>
      </c>
      <c r="H1" s="1" t="s">
        <v>129</v>
      </c>
    </row>
    <row r="2" spans="1:8" x14ac:dyDescent="0.25">
      <c r="A2" s="108" t="s">
        <v>130</v>
      </c>
      <c r="B2" s="108" t="s">
        <v>131</v>
      </c>
      <c r="C2" s="97" t="s">
        <v>132</v>
      </c>
      <c r="D2" s="97"/>
      <c r="E2" s="97"/>
      <c r="F2" s="97"/>
      <c r="G2" s="97"/>
      <c r="H2" s="97"/>
    </row>
    <row r="3" spans="1:8" x14ac:dyDescent="0.25">
      <c r="A3" s="108" t="s">
        <v>130</v>
      </c>
      <c r="B3" s="108" t="s">
        <v>133</v>
      </c>
      <c r="C3" s="97"/>
      <c r="D3" s="97"/>
      <c r="E3" s="97"/>
      <c r="F3" s="97" t="s">
        <v>132</v>
      </c>
      <c r="G3" s="97"/>
      <c r="H3" s="97"/>
    </row>
    <row r="4" spans="1:8" x14ac:dyDescent="0.25">
      <c r="A4" s="108" t="s">
        <v>130</v>
      </c>
      <c r="B4" s="108" t="s">
        <v>134</v>
      </c>
      <c r="C4" s="97"/>
      <c r="D4" s="97"/>
      <c r="E4" s="97"/>
      <c r="F4" s="97" t="s">
        <v>132</v>
      </c>
      <c r="G4" s="97"/>
      <c r="H4" s="97"/>
    </row>
    <row r="5" spans="1:8" x14ac:dyDescent="0.25">
      <c r="A5" s="108" t="s">
        <v>130</v>
      </c>
      <c r="B5" s="108" t="s">
        <v>135</v>
      </c>
      <c r="C5" s="97"/>
      <c r="D5" s="97"/>
      <c r="E5" s="97"/>
      <c r="F5" s="97" t="s">
        <v>132</v>
      </c>
      <c r="G5" s="97"/>
      <c r="H5" s="97"/>
    </row>
    <row r="6" spans="1:8" x14ac:dyDescent="0.25">
      <c r="A6" s="108" t="s">
        <v>130</v>
      </c>
      <c r="B6" s="108" t="s">
        <v>136</v>
      </c>
      <c r="C6" s="97" t="s">
        <v>132</v>
      </c>
      <c r="D6" s="97"/>
      <c r="E6" s="97"/>
      <c r="F6" s="108"/>
      <c r="G6" s="97"/>
      <c r="H6" s="97"/>
    </row>
    <row r="7" spans="1:8" x14ac:dyDescent="0.25">
      <c r="A7" s="108" t="s">
        <v>130</v>
      </c>
      <c r="B7" s="108" t="s">
        <v>137</v>
      </c>
      <c r="C7" s="97"/>
      <c r="D7" s="97"/>
      <c r="E7" s="97"/>
      <c r="F7" s="97" t="s">
        <v>132</v>
      </c>
      <c r="G7" s="97"/>
      <c r="H7" s="97"/>
    </row>
    <row r="8" spans="1:8" x14ac:dyDescent="0.25">
      <c r="A8" s="108" t="s">
        <v>130</v>
      </c>
      <c r="B8" s="108" t="s">
        <v>138</v>
      </c>
      <c r="C8" s="97"/>
      <c r="D8" s="97"/>
      <c r="E8" s="97"/>
      <c r="F8" s="97" t="s">
        <v>132</v>
      </c>
      <c r="G8" s="97"/>
      <c r="H8" s="97"/>
    </row>
    <row r="9" spans="1:8" x14ac:dyDescent="0.25">
      <c r="A9" s="108" t="s">
        <v>130</v>
      </c>
      <c r="B9" s="108" t="s">
        <v>139</v>
      </c>
      <c r="C9" s="97"/>
      <c r="D9" s="97"/>
      <c r="E9" s="97"/>
      <c r="F9" s="110" t="s">
        <v>132</v>
      </c>
      <c r="G9" s="97"/>
      <c r="H9" s="97"/>
    </row>
    <row r="10" spans="1:8" x14ac:dyDescent="0.25">
      <c r="A10" s="108" t="s">
        <v>130</v>
      </c>
      <c r="B10" s="108" t="s">
        <v>140</v>
      </c>
      <c r="C10" s="97"/>
      <c r="D10" s="97"/>
      <c r="E10" s="108"/>
      <c r="F10" s="110" t="s">
        <v>132</v>
      </c>
      <c r="G10" s="97"/>
      <c r="H10" s="97"/>
    </row>
    <row r="11" spans="1:8" x14ac:dyDescent="0.25">
      <c r="A11" s="108" t="s">
        <v>141</v>
      </c>
      <c r="B11" s="108" t="s">
        <v>142</v>
      </c>
      <c r="C11" s="97"/>
      <c r="D11" s="97"/>
      <c r="E11" s="97"/>
      <c r="F11" s="97" t="s">
        <v>132</v>
      </c>
      <c r="G11" s="97"/>
      <c r="H11" s="97"/>
    </row>
    <row r="12" spans="1:8" x14ac:dyDescent="0.25">
      <c r="A12" s="108" t="s">
        <v>141</v>
      </c>
      <c r="B12" s="108" t="s">
        <v>143</v>
      </c>
      <c r="C12" s="97"/>
      <c r="D12" s="97"/>
      <c r="E12" s="97" t="s">
        <v>132</v>
      </c>
      <c r="F12" s="97"/>
      <c r="G12" s="97"/>
      <c r="H12" s="97"/>
    </row>
    <row r="13" spans="1:8" x14ac:dyDescent="0.25">
      <c r="A13" s="108" t="s">
        <v>141</v>
      </c>
      <c r="B13" s="108" t="s">
        <v>144</v>
      </c>
      <c r="C13" s="97"/>
      <c r="D13" s="97"/>
      <c r="E13" s="97" t="s">
        <v>132</v>
      </c>
      <c r="F13" s="97"/>
      <c r="G13" s="97"/>
      <c r="H13" s="97"/>
    </row>
    <row r="14" spans="1:8" x14ac:dyDescent="0.25">
      <c r="A14" s="108" t="s">
        <v>141</v>
      </c>
      <c r="B14" s="108" t="s">
        <v>145</v>
      </c>
      <c r="C14" s="97"/>
      <c r="D14" s="97"/>
      <c r="E14" s="97" t="s">
        <v>132</v>
      </c>
      <c r="F14" s="97"/>
      <c r="G14" s="97"/>
      <c r="H14" s="97"/>
    </row>
    <row r="15" spans="1:8" x14ac:dyDescent="0.25">
      <c r="A15" s="108" t="s">
        <v>141</v>
      </c>
      <c r="B15" s="108" t="s">
        <v>146</v>
      </c>
      <c r="C15" s="97"/>
      <c r="D15" s="97"/>
      <c r="E15" s="97"/>
      <c r="F15" s="97" t="s">
        <v>132</v>
      </c>
      <c r="G15" s="97"/>
      <c r="H15" s="97"/>
    </row>
    <row r="16" spans="1:8" x14ac:dyDescent="0.25">
      <c r="A16" s="108" t="s">
        <v>141</v>
      </c>
      <c r="B16" s="108" t="s">
        <v>147</v>
      </c>
      <c r="C16" s="97"/>
      <c r="D16" s="97"/>
      <c r="E16" s="97" t="s">
        <v>132</v>
      </c>
      <c r="F16" s="97"/>
      <c r="G16" s="97"/>
      <c r="H16" s="97"/>
    </row>
    <row r="17" spans="1:8" x14ac:dyDescent="0.25">
      <c r="A17" s="108" t="s">
        <v>141</v>
      </c>
      <c r="B17" s="108" t="s">
        <v>148</v>
      </c>
      <c r="C17" s="97"/>
      <c r="D17" s="97"/>
      <c r="E17" s="97"/>
      <c r="F17" s="97" t="s">
        <v>132</v>
      </c>
      <c r="G17" s="97"/>
      <c r="H17" s="97"/>
    </row>
    <row r="18" spans="1:8" x14ac:dyDescent="0.25">
      <c r="A18" s="108" t="s">
        <v>141</v>
      </c>
      <c r="B18" s="108" t="s">
        <v>149</v>
      </c>
      <c r="C18" s="108"/>
      <c r="D18" s="97"/>
      <c r="E18" s="97"/>
      <c r="F18" s="97" t="s">
        <v>132</v>
      </c>
      <c r="G18" s="97"/>
      <c r="H18" s="97"/>
    </row>
    <row r="19" spans="1:8" x14ac:dyDescent="0.25">
      <c r="A19" s="108" t="s">
        <v>141</v>
      </c>
      <c r="B19" s="108" t="s">
        <v>150</v>
      </c>
      <c r="C19" s="108"/>
      <c r="D19" s="97"/>
      <c r="E19" s="97"/>
      <c r="F19" s="97" t="s">
        <v>132</v>
      </c>
      <c r="G19" s="97"/>
      <c r="H19" s="97"/>
    </row>
    <row r="20" spans="1:8" x14ac:dyDescent="0.25">
      <c r="A20" s="108" t="s">
        <v>141</v>
      </c>
      <c r="B20" s="108" t="s">
        <v>1390</v>
      </c>
      <c r="C20" s="108"/>
      <c r="D20" s="97"/>
      <c r="E20" s="97"/>
      <c r="F20" s="97" t="s">
        <v>132</v>
      </c>
      <c r="G20" s="97"/>
      <c r="H20" s="97"/>
    </row>
    <row r="21" spans="1:8" x14ac:dyDescent="0.25">
      <c r="A21" s="108" t="s">
        <v>141</v>
      </c>
      <c r="B21" s="108" t="s">
        <v>1391</v>
      </c>
      <c r="C21" s="108"/>
      <c r="D21" s="97"/>
      <c r="E21" s="97"/>
      <c r="F21" s="97" t="s">
        <v>132</v>
      </c>
      <c r="G21" s="97"/>
      <c r="H21" s="97"/>
    </row>
    <row r="22" spans="1:8" x14ac:dyDescent="0.25">
      <c r="A22" s="108" t="s">
        <v>151</v>
      </c>
      <c r="B22" s="108" t="s">
        <v>152</v>
      </c>
      <c r="C22" s="97" t="s">
        <v>132</v>
      </c>
      <c r="D22" s="97"/>
      <c r="E22" s="97"/>
      <c r="F22" s="97"/>
      <c r="G22" s="97"/>
      <c r="H22" s="97"/>
    </row>
    <row r="23" spans="1:8" x14ac:dyDescent="0.25">
      <c r="A23" s="108" t="s">
        <v>151</v>
      </c>
      <c r="B23" s="108" t="s">
        <v>153</v>
      </c>
      <c r="C23" s="97"/>
      <c r="D23" s="97"/>
      <c r="E23" s="97"/>
      <c r="F23" s="97" t="s">
        <v>132</v>
      </c>
      <c r="G23" s="97"/>
      <c r="H23" s="97"/>
    </row>
    <row r="24" spans="1:8" x14ac:dyDescent="0.25">
      <c r="A24" s="108" t="s">
        <v>151</v>
      </c>
      <c r="B24" s="108" t="s">
        <v>119</v>
      </c>
      <c r="C24" s="97"/>
      <c r="D24" s="108"/>
      <c r="E24" s="97"/>
      <c r="F24" s="97" t="s">
        <v>132</v>
      </c>
      <c r="G24" s="97"/>
      <c r="H24" s="97"/>
    </row>
    <row r="25" spans="1:8" x14ac:dyDescent="0.25">
      <c r="A25" s="108" t="s">
        <v>154</v>
      </c>
      <c r="B25" s="108" t="s">
        <v>155</v>
      </c>
      <c r="C25" s="97"/>
      <c r="D25" s="97"/>
      <c r="E25" s="97"/>
      <c r="F25" s="97" t="s">
        <v>132</v>
      </c>
      <c r="G25" s="97"/>
      <c r="H25" s="97"/>
    </row>
    <row r="26" spans="1:8" x14ac:dyDescent="0.25">
      <c r="A26" s="108" t="s">
        <v>156</v>
      </c>
      <c r="B26" s="108" t="s">
        <v>157</v>
      </c>
      <c r="C26" s="97"/>
      <c r="D26" s="97"/>
      <c r="E26" s="97"/>
      <c r="F26" s="97" t="s">
        <v>132</v>
      </c>
      <c r="G26" s="97"/>
      <c r="H26" s="97"/>
    </row>
    <row r="27" spans="1:8" x14ac:dyDescent="0.25">
      <c r="A27" s="108" t="s">
        <v>156</v>
      </c>
      <c r="B27" s="108" t="s">
        <v>158</v>
      </c>
      <c r="C27" s="97"/>
      <c r="D27" s="97"/>
      <c r="E27" s="97"/>
      <c r="F27" s="95" t="s">
        <v>132</v>
      </c>
      <c r="G27" s="97"/>
      <c r="H27" s="97"/>
    </row>
    <row r="28" spans="1:8" x14ac:dyDescent="0.25">
      <c r="A28" s="108" t="s">
        <v>156</v>
      </c>
      <c r="B28" s="108" t="s">
        <v>1437</v>
      </c>
      <c r="D28" s="97"/>
      <c r="E28" s="95" t="s">
        <v>132</v>
      </c>
      <c r="F28" s="108"/>
      <c r="G28" s="97"/>
      <c r="H28" s="97"/>
    </row>
    <row r="29" spans="1:8" x14ac:dyDescent="0.25">
      <c r="A29" s="108" t="s">
        <v>156</v>
      </c>
      <c r="B29" s="108" t="s">
        <v>1443</v>
      </c>
      <c r="C29" s="97" t="s">
        <v>132</v>
      </c>
      <c r="D29" s="97"/>
      <c r="E29" s="97"/>
      <c r="F29" s="97"/>
      <c r="G29" s="97"/>
      <c r="H29" s="97"/>
    </row>
    <row r="30" spans="1:8" x14ac:dyDescent="0.25">
      <c r="A30" s="108" t="s">
        <v>156</v>
      </c>
      <c r="B30" s="108" t="s">
        <v>159</v>
      </c>
      <c r="C30" s="108"/>
      <c r="D30" s="108"/>
      <c r="E30" s="108" t="s">
        <v>132</v>
      </c>
      <c r="F30" s="108"/>
      <c r="G30" s="108"/>
      <c r="H30" s="108"/>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4"/>
  <sheetViews>
    <sheetView workbookViewId="0">
      <selection activeCell="M9" sqref="M9"/>
    </sheetView>
  </sheetViews>
  <sheetFormatPr defaultColWidth="8.85546875" defaultRowHeight="15" x14ac:dyDescent="0.25"/>
  <cols>
    <col min="1" max="1" width="26.140625" customWidth="1"/>
    <col min="9" max="9" width="12" customWidth="1"/>
    <col min="10" max="10" width="11.140625" customWidth="1"/>
  </cols>
  <sheetData>
    <row r="1" spans="1:13" ht="42" customHeight="1" thickBot="1" x14ac:dyDescent="0.3">
      <c r="A1" s="37" t="s">
        <v>160</v>
      </c>
      <c r="B1" s="38" t="s">
        <v>161</v>
      </c>
      <c r="C1" s="38" t="s">
        <v>162</v>
      </c>
      <c r="D1" s="38" t="s">
        <v>163</v>
      </c>
      <c r="E1" s="38" t="s">
        <v>164</v>
      </c>
      <c r="F1" s="38" t="s">
        <v>165</v>
      </c>
      <c r="G1" s="38" t="s">
        <v>166</v>
      </c>
      <c r="H1" s="38" t="s">
        <v>167</v>
      </c>
      <c r="I1" s="38" t="s">
        <v>168</v>
      </c>
      <c r="J1" s="38" t="s">
        <v>155</v>
      </c>
      <c r="K1" s="38" t="s">
        <v>1354</v>
      </c>
      <c r="L1" s="38" t="s">
        <v>169</v>
      </c>
      <c r="M1" s="39" t="s">
        <v>170</v>
      </c>
    </row>
    <row r="2" spans="1:13" ht="23.25" customHeight="1" x14ac:dyDescent="0.25">
      <c r="A2" s="40" t="s">
        <v>171</v>
      </c>
      <c r="B2" s="41" t="s">
        <v>1355</v>
      </c>
      <c r="C2" s="41" t="s">
        <v>1355</v>
      </c>
      <c r="D2" s="41" t="s">
        <v>1355</v>
      </c>
      <c r="E2" s="41" t="s">
        <v>1355</v>
      </c>
      <c r="F2" s="41" t="s">
        <v>1355</v>
      </c>
      <c r="G2" s="42" t="s">
        <v>1356</v>
      </c>
      <c r="H2" s="18"/>
      <c r="J2" s="18"/>
      <c r="K2" s="42" t="s">
        <v>1356</v>
      </c>
      <c r="M2" s="43"/>
    </row>
    <row r="3" spans="1:13" x14ac:dyDescent="0.25">
      <c r="A3" s="40" t="s">
        <v>172</v>
      </c>
      <c r="B3" s="41" t="s">
        <v>1355</v>
      </c>
      <c r="C3" s="41" t="s">
        <v>1355</v>
      </c>
      <c r="D3" s="41" t="s">
        <v>1355</v>
      </c>
      <c r="E3" s="41" t="s">
        <v>1355</v>
      </c>
      <c r="F3" s="41" t="s">
        <v>1355</v>
      </c>
      <c r="G3" s="42" t="s">
        <v>1356</v>
      </c>
      <c r="H3" s="18"/>
      <c r="J3" s="42" t="s">
        <v>1356</v>
      </c>
      <c r="K3" s="42" t="s">
        <v>1356</v>
      </c>
      <c r="M3" s="43"/>
    </row>
    <row r="4" spans="1:13" x14ac:dyDescent="0.25">
      <c r="A4" s="40" t="s">
        <v>173</v>
      </c>
      <c r="B4" s="41" t="s">
        <v>1355</v>
      </c>
      <c r="C4" s="41" t="s">
        <v>1355</v>
      </c>
      <c r="D4" s="19"/>
      <c r="E4" s="18"/>
      <c r="F4" s="18"/>
      <c r="G4" s="18"/>
      <c r="H4" s="18"/>
      <c r="J4" s="18"/>
      <c r="K4" s="18"/>
      <c r="L4" s="42" t="s">
        <v>1356</v>
      </c>
      <c r="M4" s="43"/>
    </row>
    <row r="5" spans="1:13" x14ac:dyDescent="0.25">
      <c r="A5" s="40" t="s">
        <v>174</v>
      </c>
      <c r="B5" s="41" t="s">
        <v>1355</v>
      </c>
      <c r="C5" s="41" t="s">
        <v>1355</v>
      </c>
      <c r="D5" s="19"/>
      <c r="E5" s="18"/>
      <c r="F5" s="18"/>
      <c r="G5" s="18"/>
      <c r="H5" s="18"/>
      <c r="J5" s="18"/>
      <c r="K5" s="18"/>
      <c r="L5" s="42" t="s">
        <v>1356</v>
      </c>
      <c r="M5" s="43"/>
    </row>
    <row r="6" spans="1:13" ht="34.5" customHeight="1" x14ac:dyDescent="0.25">
      <c r="A6" s="40" t="s">
        <v>175</v>
      </c>
      <c r="B6" s="41" t="s">
        <v>1355</v>
      </c>
      <c r="C6" s="41" t="s">
        <v>1355</v>
      </c>
      <c r="D6" s="41" t="s">
        <v>1355</v>
      </c>
      <c r="E6" s="41" t="s">
        <v>1355</v>
      </c>
      <c r="F6" s="41" t="s">
        <v>1355</v>
      </c>
      <c r="G6" s="42" t="s">
        <v>1356</v>
      </c>
      <c r="H6" s="42" t="s">
        <v>1356</v>
      </c>
      <c r="J6" s="18"/>
      <c r="K6" s="42" t="s">
        <v>1356</v>
      </c>
      <c r="M6" s="43"/>
    </row>
    <row r="7" spans="1:13" x14ac:dyDescent="0.25">
      <c r="A7" s="40" t="s">
        <v>176</v>
      </c>
      <c r="B7" s="41" t="s">
        <v>1355</v>
      </c>
      <c r="C7" s="41" t="s">
        <v>1355</v>
      </c>
      <c r="D7" s="19"/>
      <c r="E7" s="18"/>
      <c r="F7" s="18"/>
      <c r="G7" s="18"/>
      <c r="H7" s="18"/>
      <c r="I7" s="42" t="s">
        <v>1356</v>
      </c>
      <c r="J7" s="18"/>
      <c r="M7" s="43"/>
    </row>
    <row r="8" spans="1:13" ht="34.5" customHeight="1" x14ac:dyDescent="0.25">
      <c r="A8" s="40" t="s">
        <v>177</v>
      </c>
      <c r="B8" s="41" t="s">
        <v>1355</v>
      </c>
      <c r="C8" s="41" t="s">
        <v>1355</v>
      </c>
      <c r="D8" s="19"/>
      <c r="E8" s="18"/>
      <c r="F8" s="18"/>
      <c r="G8" s="18"/>
      <c r="H8" s="18"/>
      <c r="I8" s="44"/>
      <c r="J8" s="18"/>
      <c r="L8" s="42" t="s">
        <v>1356</v>
      </c>
      <c r="M8" s="43"/>
    </row>
    <row r="9" spans="1:13" ht="34.5" customHeight="1" x14ac:dyDescent="0.25">
      <c r="A9" s="40" t="s">
        <v>178</v>
      </c>
      <c r="B9" s="41" t="s">
        <v>1355</v>
      </c>
      <c r="C9" s="41" t="s">
        <v>1355</v>
      </c>
      <c r="D9" s="41" t="s">
        <v>1355</v>
      </c>
      <c r="E9" s="18"/>
      <c r="F9" s="18"/>
      <c r="G9" s="42" t="s">
        <v>1356</v>
      </c>
      <c r="H9" s="42" t="s">
        <v>1356</v>
      </c>
      <c r="I9" s="18"/>
      <c r="J9" s="18"/>
      <c r="M9" s="42" t="s">
        <v>1356</v>
      </c>
    </row>
    <row r="10" spans="1:13" x14ac:dyDescent="0.25">
      <c r="A10" s="45" t="s">
        <v>179</v>
      </c>
      <c r="B10" s="41" t="s">
        <v>1355</v>
      </c>
      <c r="C10" s="41" t="s">
        <v>1355</v>
      </c>
      <c r="D10" s="19"/>
      <c r="E10" s="18"/>
      <c r="F10" s="18"/>
      <c r="G10" s="18"/>
      <c r="H10" s="18"/>
      <c r="I10" s="18"/>
      <c r="J10" s="18"/>
      <c r="L10" s="42" t="s">
        <v>1356</v>
      </c>
      <c r="M10" s="43"/>
    </row>
    <row r="11" spans="1:13" x14ac:dyDescent="0.25">
      <c r="A11" s="45" t="s">
        <v>180</v>
      </c>
      <c r="B11" s="41" t="s">
        <v>1355</v>
      </c>
      <c r="C11" s="41" t="s">
        <v>1355</v>
      </c>
      <c r="D11" s="19"/>
      <c r="E11" s="18"/>
      <c r="F11" s="18"/>
      <c r="G11" s="18"/>
      <c r="H11" s="18"/>
      <c r="I11" s="18"/>
      <c r="J11" s="18"/>
      <c r="M11" s="42" t="s">
        <v>1356</v>
      </c>
    </row>
    <row r="12" spans="1:13" x14ac:dyDescent="0.25">
      <c r="A12" s="46" t="s">
        <v>181</v>
      </c>
      <c r="B12" s="41" t="s">
        <v>1355</v>
      </c>
      <c r="C12" s="47"/>
      <c r="D12" s="47"/>
      <c r="E12" s="47"/>
      <c r="F12" s="47"/>
      <c r="G12" s="47"/>
      <c r="H12" s="47"/>
      <c r="I12" s="47"/>
      <c r="J12" s="47"/>
      <c r="K12" s="48"/>
      <c r="L12" s="48"/>
      <c r="M12" s="49"/>
    </row>
    <row r="13" spans="1:13" x14ac:dyDescent="0.25">
      <c r="A13" s="41" t="s">
        <v>1360</v>
      </c>
      <c r="B13" s="78" t="s">
        <v>1357</v>
      </c>
      <c r="C13" s="78"/>
      <c r="D13" s="78"/>
      <c r="E13" s="78"/>
      <c r="F13" s="78"/>
      <c r="G13" s="78"/>
      <c r="H13" s="78"/>
      <c r="I13" s="78"/>
      <c r="J13" s="78"/>
      <c r="K13" s="78"/>
      <c r="L13" s="78"/>
      <c r="M13" s="78"/>
    </row>
    <row r="14" spans="1:13" x14ac:dyDescent="0.25">
      <c r="A14" s="42" t="s">
        <v>1361</v>
      </c>
      <c r="B14" s="78" t="s">
        <v>1358</v>
      </c>
      <c r="C14" s="78"/>
      <c r="D14" s="78"/>
      <c r="E14" s="78"/>
      <c r="F14" s="78"/>
      <c r="G14" s="78"/>
      <c r="H14" s="78"/>
      <c r="I14" s="78"/>
      <c r="J14" s="78"/>
      <c r="K14" s="78"/>
      <c r="L14" s="78"/>
      <c r="M14" s="78"/>
    </row>
    <row r="15" spans="1:13" x14ac:dyDescent="0.25">
      <c r="A15" s="20"/>
      <c r="B15" s="19"/>
      <c r="C15" s="19"/>
      <c r="D15" s="21"/>
      <c r="E15" s="21"/>
      <c r="F15" s="21"/>
      <c r="G15" s="21"/>
      <c r="H15" s="21"/>
    </row>
    <row r="16" spans="1:13" x14ac:dyDescent="0.25">
      <c r="A16" s="20"/>
      <c r="B16" s="19"/>
      <c r="C16" s="19"/>
      <c r="D16" s="21"/>
      <c r="E16" s="21"/>
      <c r="F16" s="21"/>
      <c r="G16" s="21"/>
      <c r="H16" s="21"/>
    </row>
    <row r="17" spans="1:8" x14ac:dyDescent="0.25">
      <c r="A17" s="20"/>
      <c r="B17" s="19"/>
      <c r="C17" s="19"/>
      <c r="D17" s="21"/>
      <c r="E17" s="21"/>
      <c r="F17" s="21"/>
      <c r="G17" s="21"/>
      <c r="H17" s="21"/>
    </row>
    <row r="18" spans="1:8" x14ac:dyDescent="0.25">
      <c r="A18" s="20"/>
      <c r="B18" s="19"/>
      <c r="C18" s="19"/>
      <c r="D18" s="21"/>
      <c r="E18" s="21"/>
      <c r="F18" s="21"/>
      <c r="G18" s="21"/>
      <c r="H18" s="21"/>
    </row>
    <row r="19" spans="1:8" x14ac:dyDescent="0.25">
      <c r="A19" s="20"/>
      <c r="B19" s="19"/>
      <c r="C19" s="19"/>
      <c r="D19" s="21"/>
      <c r="E19" s="21"/>
      <c r="F19" s="21"/>
      <c r="G19" s="21"/>
      <c r="H19" s="21"/>
    </row>
    <row r="20" spans="1:8" x14ac:dyDescent="0.25">
      <c r="A20" s="20"/>
      <c r="B20" s="19"/>
      <c r="C20" s="19"/>
      <c r="D20" s="21"/>
      <c r="E20" s="21"/>
      <c r="F20" s="21"/>
      <c r="G20" s="21"/>
      <c r="H20" s="21"/>
    </row>
    <row r="21" spans="1:8" x14ac:dyDescent="0.25">
      <c r="A21" s="20"/>
      <c r="B21" s="19"/>
      <c r="C21" s="19"/>
      <c r="D21" s="21"/>
      <c r="E21" s="21"/>
      <c r="F21" s="21"/>
      <c r="G21" s="21"/>
      <c r="H21" s="21"/>
    </row>
    <row r="22" spans="1:8" x14ac:dyDescent="0.25">
      <c r="A22" s="20"/>
      <c r="B22" s="19"/>
      <c r="C22" s="19"/>
      <c r="D22" s="21"/>
      <c r="E22" s="21"/>
      <c r="F22" s="21"/>
      <c r="G22" s="21"/>
      <c r="H22" s="21"/>
    </row>
    <row r="23" spans="1:8" x14ac:dyDescent="0.25">
      <c r="A23" s="20"/>
      <c r="B23" s="19"/>
      <c r="C23" s="19"/>
    </row>
    <row r="24" spans="1:8" x14ac:dyDescent="0.25">
      <c r="A24" s="16"/>
      <c r="B24" s="1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7"/>
  <sheetViews>
    <sheetView tabSelected="1" topLeftCell="A10" zoomScale="140" zoomScaleNormal="140" workbookViewId="0">
      <selection activeCell="B13" sqref="B13"/>
    </sheetView>
  </sheetViews>
  <sheetFormatPr defaultColWidth="8.85546875" defaultRowHeight="15" x14ac:dyDescent="0.25"/>
  <cols>
    <col min="1" max="1" width="37.42578125" bestFit="1" customWidth="1"/>
    <col min="2" max="2" width="48.28515625" bestFit="1" customWidth="1"/>
    <col min="3" max="3" width="18.42578125" customWidth="1"/>
    <col min="4" max="5" width="16.42578125" customWidth="1"/>
    <col min="6" max="6" width="8.7109375" bestFit="1" customWidth="1"/>
    <col min="7" max="7" width="20.140625" customWidth="1"/>
    <col min="8" max="8" width="19" customWidth="1"/>
    <col min="9" max="9" width="10.7109375" bestFit="1" customWidth="1"/>
    <col min="10" max="10" width="8.140625" bestFit="1" customWidth="1"/>
    <col min="11" max="11" width="9.42578125" bestFit="1" customWidth="1"/>
  </cols>
  <sheetData>
    <row r="1" spans="1:11" s="73" customFormat="1" ht="72" x14ac:dyDescent="0.25">
      <c r="A1" s="74" t="s">
        <v>182</v>
      </c>
      <c r="B1" s="75" t="s">
        <v>183</v>
      </c>
      <c r="C1" s="75" t="s">
        <v>184</v>
      </c>
      <c r="D1" s="75" t="s">
        <v>185</v>
      </c>
      <c r="E1" s="75" t="s">
        <v>186</v>
      </c>
      <c r="F1" s="75" t="s">
        <v>187</v>
      </c>
      <c r="G1" s="75" t="s">
        <v>188</v>
      </c>
      <c r="H1" s="75" t="s">
        <v>189</v>
      </c>
      <c r="I1" s="75" t="s">
        <v>190</v>
      </c>
      <c r="J1" s="75" t="s">
        <v>191</v>
      </c>
      <c r="K1" s="75" t="s">
        <v>192</v>
      </c>
    </row>
    <row r="2" spans="1:11" s="73" customFormat="1" ht="60" x14ac:dyDescent="0.25">
      <c r="A2" s="72" t="s">
        <v>193</v>
      </c>
      <c r="B2" s="91" t="s">
        <v>1446</v>
      </c>
      <c r="C2" s="91" t="s">
        <v>194</v>
      </c>
      <c r="D2" s="91" t="s">
        <v>195</v>
      </c>
      <c r="E2" s="91" t="s">
        <v>196</v>
      </c>
      <c r="F2" s="91" t="s">
        <v>52</v>
      </c>
      <c r="G2" s="91" t="s">
        <v>207</v>
      </c>
      <c r="H2" s="91" t="s">
        <v>1445</v>
      </c>
      <c r="I2" s="91" t="s">
        <v>1412</v>
      </c>
      <c r="J2" s="91"/>
      <c r="K2" s="91"/>
    </row>
    <row r="3" spans="1:11" s="73" customFormat="1" ht="60" x14ac:dyDescent="0.25">
      <c r="A3" s="91" t="s">
        <v>197</v>
      </c>
      <c r="B3" s="91" t="s">
        <v>198</v>
      </c>
      <c r="C3" s="91" t="s">
        <v>1385</v>
      </c>
      <c r="D3" s="91" t="s">
        <v>1384</v>
      </c>
      <c r="E3" s="91"/>
      <c r="F3" s="91" t="s">
        <v>52</v>
      </c>
      <c r="G3" s="91" t="s">
        <v>207</v>
      </c>
      <c r="H3" s="91" t="s">
        <v>102</v>
      </c>
      <c r="I3" s="91" t="s">
        <v>1412</v>
      </c>
      <c r="J3" s="91"/>
      <c r="K3" s="91"/>
    </row>
    <row r="4" spans="1:11" s="73" customFormat="1" ht="60" x14ac:dyDescent="0.25">
      <c r="A4" s="91" t="s">
        <v>197</v>
      </c>
      <c r="B4" s="91" t="s">
        <v>200</v>
      </c>
      <c r="C4" s="91" t="s">
        <v>201</v>
      </c>
      <c r="D4" s="91" t="s">
        <v>199</v>
      </c>
      <c r="E4" s="91"/>
      <c r="F4" s="91" t="s">
        <v>52</v>
      </c>
      <c r="G4" s="91" t="s">
        <v>207</v>
      </c>
      <c r="H4" s="91" t="s">
        <v>102</v>
      </c>
      <c r="I4" s="91" t="s">
        <v>1412</v>
      </c>
      <c r="J4" s="91"/>
      <c r="K4" s="91"/>
    </row>
    <row r="5" spans="1:11" s="73" customFormat="1" ht="60" x14ac:dyDescent="0.25">
      <c r="A5" s="91" t="s">
        <v>197</v>
      </c>
      <c r="B5" s="91" t="s">
        <v>202</v>
      </c>
      <c r="C5" s="91" t="s">
        <v>201</v>
      </c>
      <c r="D5" s="91" t="s">
        <v>203</v>
      </c>
      <c r="E5" s="91"/>
      <c r="F5" s="91" t="s">
        <v>52</v>
      </c>
      <c r="G5" s="91" t="s">
        <v>207</v>
      </c>
      <c r="H5" s="91" t="s">
        <v>102</v>
      </c>
      <c r="I5" s="91" t="s">
        <v>1412</v>
      </c>
      <c r="J5" s="91"/>
      <c r="K5" s="91"/>
    </row>
    <row r="6" spans="1:11" s="73" customFormat="1" ht="60" x14ac:dyDescent="0.25">
      <c r="A6" s="91" t="s">
        <v>197</v>
      </c>
      <c r="B6" s="91" t="s">
        <v>204</v>
      </c>
      <c r="C6" s="91" t="s">
        <v>201</v>
      </c>
      <c r="D6" s="91" t="s">
        <v>205</v>
      </c>
      <c r="E6" s="91"/>
      <c r="F6" s="91" t="s">
        <v>52</v>
      </c>
      <c r="G6" s="91" t="s">
        <v>207</v>
      </c>
      <c r="H6" s="91" t="s">
        <v>102</v>
      </c>
      <c r="I6" s="91" t="s">
        <v>1412</v>
      </c>
      <c r="J6" s="91"/>
      <c r="K6" s="91"/>
    </row>
    <row r="7" spans="1:11" s="73" customFormat="1" ht="60" x14ac:dyDescent="0.25">
      <c r="A7" s="91" t="s">
        <v>197</v>
      </c>
      <c r="B7" s="91" t="s">
        <v>206</v>
      </c>
      <c r="C7" s="91" t="s">
        <v>201</v>
      </c>
      <c r="D7" s="91" t="s">
        <v>205</v>
      </c>
      <c r="E7" s="91"/>
      <c r="F7" s="91" t="s">
        <v>52</v>
      </c>
      <c r="G7" s="91" t="s">
        <v>207</v>
      </c>
      <c r="H7" s="91" t="s">
        <v>102</v>
      </c>
      <c r="I7" s="91" t="s">
        <v>1412</v>
      </c>
      <c r="J7" s="91"/>
      <c r="K7" s="91"/>
    </row>
    <row r="8" spans="1:11" s="73" customFormat="1" ht="60" x14ac:dyDescent="0.25">
      <c r="A8" s="91" t="s">
        <v>197</v>
      </c>
      <c r="B8" s="91" t="s">
        <v>208</v>
      </c>
      <c r="C8" s="91" t="s">
        <v>201</v>
      </c>
      <c r="D8" s="91" t="s">
        <v>205</v>
      </c>
      <c r="E8" s="91"/>
      <c r="F8" s="91" t="s">
        <v>52</v>
      </c>
      <c r="G8" s="91" t="s">
        <v>207</v>
      </c>
      <c r="H8" s="91" t="s">
        <v>102</v>
      </c>
      <c r="I8" s="91" t="s">
        <v>1412</v>
      </c>
      <c r="J8" s="91"/>
      <c r="K8" s="91"/>
    </row>
    <row r="9" spans="1:11" s="73" customFormat="1" ht="60" x14ac:dyDescent="0.25">
      <c r="A9" s="91" t="s">
        <v>197</v>
      </c>
      <c r="B9" s="91" t="s">
        <v>209</v>
      </c>
      <c r="C9" s="91" t="s">
        <v>201</v>
      </c>
      <c r="D9" s="91" t="s">
        <v>205</v>
      </c>
      <c r="E9" s="91"/>
      <c r="F9" s="91" t="s">
        <v>52</v>
      </c>
      <c r="G9" s="91" t="s">
        <v>207</v>
      </c>
      <c r="H9" s="91" t="s">
        <v>102</v>
      </c>
      <c r="I9" s="91" t="s">
        <v>1412</v>
      </c>
      <c r="J9" s="91"/>
      <c r="K9" s="91"/>
    </row>
    <row r="10" spans="1:11" s="73" customFormat="1" ht="60" x14ac:dyDescent="0.25">
      <c r="A10" s="91" t="s">
        <v>197</v>
      </c>
      <c r="B10" s="91" t="s">
        <v>210</v>
      </c>
      <c r="C10" s="91" t="s">
        <v>201</v>
      </c>
      <c r="D10" s="91" t="s">
        <v>205</v>
      </c>
      <c r="E10" s="91"/>
      <c r="F10" s="91" t="s">
        <v>52</v>
      </c>
      <c r="G10" s="91" t="s">
        <v>207</v>
      </c>
      <c r="H10" s="91" t="s">
        <v>102</v>
      </c>
      <c r="I10" s="91" t="s">
        <v>1412</v>
      </c>
      <c r="J10" s="91"/>
      <c r="K10" s="91"/>
    </row>
    <row r="11" spans="1:11" s="73" customFormat="1" ht="60" x14ac:dyDescent="0.25">
      <c r="A11" s="91" t="s">
        <v>197</v>
      </c>
      <c r="B11" s="91" t="s">
        <v>1530</v>
      </c>
      <c r="C11" s="91" t="s">
        <v>1386</v>
      </c>
      <c r="D11" s="91" t="s">
        <v>1387</v>
      </c>
      <c r="E11" s="91"/>
      <c r="F11" s="91" t="s">
        <v>52</v>
      </c>
      <c r="G11" s="91" t="s">
        <v>207</v>
      </c>
      <c r="H11" s="91" t="s">
        <v>102</v>
      </c>
      <c r="I11" s="91" t="s">
        <v>1412</v>
      </c>
      <c r="J11" s="91"/>
      <c r="K11" s="91"/>
    </row>
    <row r="12" spans="1:11" s="73" customFormat="1" ht="60" x14ac:dyDescent="0.25">
      <c r="A12" s="91" t="s">
        <v>197</v>
      </c>
      <c r="B12" s="91" t="s">
        <v>1529</v>
      </c>
      <c r="C12" s="91" t="s">
        <v>1388</v>
      </c>
      <c r="D12" s="91" t="s">
        <v>1389</v>
      </c>
      <c r="E12" s="91"/>
      <c r="F12" s="91" t="s">
        <v>52</v>
      </c>
      <c r="G12" s="91" t="s">
        <v>207</v>
      </c>
      <c r="H12" s="91" t="s">
        <v>102</v>
      </c>
      <c r="I12" s="91" t="s">
        <v>1412</v>
      </c>
      <c r="J12" s="91"/>
      <c r="K12" s="91"/>
    </row>
    <row r="13" spans="1:11" s="73" customFormat="1" ht="60" x14ac:dyDescent="0.25">
      <c r="A13" s="91" t="s">
        <v>197</v>
      </c>
      <c r="B13" s="91" t="s">
        <v>1514</v>
      </c>
      <c r="C13" s="91" t="s">
        <v>201</v>
      </c>
      <c r="D13" s="91" t="s">
        <v>205</v>
      </c>
      <c r="E13" s="91"/>
      <c r="F13" s="91" t="s">
        <v>52</v>
      </c>
      <c r="G13" s="91" t="s">
        <v>207</v>
      </c>
      <c r="H13" s="91" t="s">
        <v>102</v>
      </c>
      <c r="I13" s="91" t="s">
        <v>1412</v>
      </c>
      <c r="J13" s="91"/>
      <c r="K13" s="91"/>
    </row>
    <row r="14" spans="1:11" s="73" customFormat="1" ht="60" x14ac:dyDescent="0.25">
      <c r="A14" s="91" t="s">
        <v>197</v>
      </c>
      <c r="B14" s="91" t="s">
        <v>1515</v>
      </c>
      <c r="C14" s="91" t="s">
        <v>1516</v>
      </c>
      <c r="D14" s="91" t="s">
        <v>1384</v>
      </c>
      <c r="E14" s="91"/>
      <c r="F14" s="91" t="s">
        <v>52</v>
      </c>
      <c r="G14" s="91" t="s">
        <v>207</v>
      </c>
      <c r="H14" s="91" t="s">
        <v>102</v>
      </c>
      <c r="I14" s="91" t="s">
        <v>1412</v>
      </c>
      <c r="J14" s="91"/>
      <c r="K14" s="91"/>
    </row>
    <row r="15" spans="1:11" s="73" customFormat="1" ht="72" x14ac:dyDescent="0.25">
      <c r="A15" s="91" t="s">
        <v>197</v>
      </c>
      <c r="B15" s="91" t="s">
        <v>1517</v>
      </c>
      <c r="C15" s="91" t="s">
        <v>1518</v>
      </c>
      <c r="D15" s="91" t="s">
        <v>1387</v>
      </c>
      <c r="E15" s="91"/>
      <c r="F15" s="91" t="s">
        <v>1519</v>
      </c>
      <c r="G15" s="91" t="s">
        <v>1520</v>
      </c>
      <c r="H15" s="91" t="s">
        <v>87</v>
      </c>
      <c r="I15" s="91" t="s">
        <v>1521</v>
      </c>
      <c r="J15" s="91"/>
      <c r="K15" s="91"/>
    </row>
    <row r="16" spans="1:11" s="73" customFormat="1" ht="72" x14ac:dyDescent="0.25">
      <c r="A16" s="91" t="s">
        <v>197</v>
      </c>
      <c r="B16" s="91" t="s">
        <v>1523</v>
      </c>
      <c r="C16" s="91" t="s">
        <v>1524</v>
      </c>
      <c r="D16" s="91" t="s">
        <v>199</v>
      </c>
      <c r="E16" s="91"/>
      <c r="F16" s="91" t="s">
        <v>1525</v>
      </c>
      <c r="G16" s="91"/>
      <c r="H16" s="91" t="s">
        <v>1522</v>
      </c>
      <c r="I16" s="91" t="s">
        <v>1394</v>
      </c>
      <c r="J16" s="91"/>
      <c r="K16" s="91"/>
    </row>
    <row r="17" spans="8:8" x14ac:dyDescent="0.25">
      <c r="H17" s="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
  <sheetViews>
    <sheetView workbookViewId="0">
      <selection activeCell="F3" sqref="F3"/>
    </sheetView>
  </sheetViews>
  <sheetFormatPr defaultColWidth="8.85546875" defaultRowHeight="15" x14ac:dyDescent="0.25"/>
  <cols>
    <col min="1" max="1" width="6.5703125" bestFit="1" customWidth="1"/>
    <col min="2" max="2" width="17.85546875" bestFit="1" customWidth="1"/>
    <col min="3" max="3" width="56.5703125" customWidth="1"/>
    <col min="4" max="4" width="24.140625" customWidth="1"/>
  </cols>
  <sheetData>
    <row r="1" spans="1:4" ht="30.75" thickBot="1" x14ac:dyDescent="0.3">
      <c r="A1" s="2" t="s">
        <v>211</v>
      </c>
      <c r="B1" s="3" t="s">
        <v>212</v>
      </c>
      <c r="C1" s="3" t="s">
        <v>213</v>
      </c>
      <c r="D1" s="3" t="s">
        <v>214</v>
      </c>
    </row>
    <row r="2" spans="1:4" ht="30.75" thickBot="1" x14ac:dyDescent="0.3">
      <c r="A2" s="66" t="s">
        <v>215</v>
      </c>
      <c r="B2" s="3" t="s">
        <v>216</v>
      </c>
      <c r="C2" s="3" t="s">
        <v>217</v>
      </c>
      <c r="D2" s="3" t="s">
        <v>218</v>
      </c>
    </row>
    <row r="3" spans="1:4" ht="45.75" thickBot="1" x14ac:dyDescent="0.3">
      <c r="A3" s="66" t="s">
        <v>219</v>
      </c>
      <c r="B3" s="3" t="s">
        <v>220</v>
      </c>
      <c r="C3" s="3" t="s">
        <v>221</v>
      </c>
      <c r="D3" s="3" t="s">
        <v>221</v>
      </c>
    </row>
    <row r="4" spans="1:4" ht="45.75" thickBot="1" x14ac:dyDescent="0.3">
      <c r="A4" s="66" t="s">
        <v>222</v>
      </c>
      <c r="B4" s="3" t="s">
        <v>223</v>
      </c>
      <c r="C4" s="3" t="s">
        <v>224</v>
      </c>
      <c r="D4" s="3" t="s">
        <v>225</v>
      </c>
    </row>
    <row r="5" spans="1:4" ht="60.75" thickBot="1" x14ac:dyDescent="0.3">
      <c r="A5" s="66" t="s">
        <v>226</v>
      </c>
      <c r="B5" s="3" t="s">
        <v>227</v>
      </c>
      <c r="C5" s="3" t="s">
        <v>228</v>
      </c>
      <c r="D5" s="3" t="s">
        <v>229</v>
      </c>
    </row>
    <row r="6" spans="1:4" ht="75.75" thickBot="1" x14ac:dyDescent="0.3">
      <c r="A6" s="66" t="s">
        <v>230</v>
      </c>
      <c r="B6" s="3" t="s">
        <v>231</v>
      </c>
      <c r="C6" s="3" t="s">
        <v>232</v>
      </c>
      <c r="D6" s="3" t="s">
        <v>233</v>
      </c>
    </row>
    <row r="7" spans="1:4" ht="30.75" thickBot="1" x14ac:dyDescent="0.3">
      <c r="A7" s="66" t="s">
        <v>234</v>
      </c>
      <c r="B7" s="3" t="s">
        <v>235</v>
      </c>
      <c r="C7" s="3" t="s">
        <v>236</v>
      </c>
      <c r="D7" s="3" t="s">
        <v>237</v>
      </c>
    </row>
    <row r="8" spans="1:4" ht="45.75" thickBot="1" x14ac:dyDescent="0.3">
      <c r="A8" s="66" t="s">
        <v>238</v>
      </c>
      <c r="B8" s="3" t="s">
        <v>239</v>
      </c>
      <c r="C8" s="3" t="s">
        <v>240</v>
      </c>
      <c r="D8" s="3" t="s">
        <v>241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
  <sheetViews>
    <sheetView workbookViewId="0">
      <selection activeCell="F23" sqref="F23"/>
    </sheetView>
  </sheetViews>
  <sheetFormatPr defaultColWidth="8.85546875" defaultRowHeight="15" x14ac:dyDescent="0.25"/>
  <cols>
    <col min="1" max="1" width="6.85546875" bestFit="1" customWidth="1"/>
    <col min="2" max="2" width="10.28515625" bestFit="1" customWidth="1"/>
    <col min="3" max="3" width="21.140625" bestFit="1" customWidth="1"/>
    <col min="4" max="4" width="9" bestFit="1" customWidth="1"/>
    <col min="5" max="5" width="7.42578125" bestFit="1" customWidth="1"/>
    <col min="6" max="6" width="13.42578125" bestFit="1" customWidth="1"/>
    <col min="7" max="7" width="10.28515625" bestFit="1" customWidth="1"/>
    <col min="8" max="8" width="2.85546875" bestFit="1" customWidth="1"/>
    <col min="9" max="9" width="4.140625" bestFit="1" customWidth="1"/>
    <col min="10" max="10" width="3.42578125" bestFit="1" customWidth="1"/>
    <col min="11" max="11" width="7.28515625" bestFit="1" customWidth="1"/>
  </cols>
  <sheetData>
    <row r="1" spans="1:11" x14ac:dyDescent="0.25">
      <c r="A1" s="117" t="s">
        <v>1277</v>
      </c>
      <c r="B1" s="117"/>
      <c r="C1" s="117"/>
      <c r="D1" s="5"/>
      <c r="E1" s="5"/>
      <c r="F1" s="5"/>
      <c r="G1" s="5"/>
      <c r="H1" s="5"/>
      <c r="I1" s="5"/>
      <c r="J1" s="5"/>
      <c r="K1" s="5"/>
    </row>
    <row r="2" spans="1:11" x14ac:dyDescent="0.25">
      <c r="A2" s="5" t="s">
        <v>1278</v>
      </c>
      <c r="B2" s="5" t="s">
        <v>1279</v>
      </c>
      <c r="C2" s="5" t="s">
        <v>1280</v>
      </c>
      <c r="D2" s="5" t="s">
        <v>1281</v>
      </c>
      <c r="E2" s="5" t="s">
        <v>1282</v>
      </c>
      <c r="F2" s="5" t="s">
        <v>1283</v>
      </c>
      <c r="G2" s="5" t="s">
        <v>1284</v>
      </c>
      <c r="H2" s="5" t="s">
        <v>1285</v>
      </c>
      <c r="I2" s="5" t="s">
        <v>1286</v>
      </c>
      <c r="J2" s="5" t="s">
        <v>1287</v>
      </c>
      <c r="K2" s="5" t="s">
        <v>1288</v>
      </c>
    </row>
    <row r="3" spans="1:11" x14ac:dyDescent="0.25">
      <c r="A3" s="5" t="s">
        <v>1289</v>
      </c>
      <c r="B3" s="5" t="s">
        <v>1289</v>
      </c>
      <c r="C3" s="5" t="s">
        <v>1289</v>
      </c>
      <c r="D3" s="5" t="s">
        <v>1289</v>
      </c>
      <c r="E3" s="5" t="s">
        <v>1289</v>
      </c>
      <c r="F3" s="5" t="s">
        <v>1289</v>
      </c>
      <c r="G3" s="5" t="s">
        <v>1289</v>
      </c>
      <c r="H3" s="5" t="s">
        <v>1289</v>
      </c>
      <c r="I3" s="5" t="s">
        <v>1289</v>
      </c>
      <c r="J3" s="5" t="s">
        <v>1289</v>
      </c>
      <c r="K3" s="5" t="s">
        <v>1289</v>
      </c>
    </row>
    <row r="4" spans="1:11" x14ac:dyDescent="0.25">
      <c r="A4" s="5" t="s">
        <v>1289</v>
      </c>
      <c r="B4" s="5" t="s">
        <v>1289</v>
      </c>
      <c r="C4" s="5" t="s">
        <v>1289</v>
      </c>
      <c r="D4" s="5" t="s">
        <v>1289</v>
      </c>
      <c r="E4" s="5" t="s">
        <v>1289</v>
      </c>
      <c r="F4" s="5" t="s">
        <v>1289</v>
      </c>
      <c r="G4" s="5" t="s">
        <v>1289</v>
      </c>
      <c r="H4" s="5" t="s">
        <v>1289</v>
      </c>
      <c r="I4" s="5" t="s">
        <v>1289</v>
      </c>
      <c r="J4" s="5" t="s">
        <v>1289</v>
      </c>
      <c r="K4" s="5" t="s">
        <v>1289</v>
      </c>
    </row>
    <row r="5" spans="1:11" x14ac:dyDescent="0.25">
      <c r="A5" s="5" t="s">
        <v>1289</v>
      </c>
      <c r="B5" s="5" t="s">
        <v>1289</v>
      </c>
      <c r="C5" s="5" t="s">
        <v>1289</v>
      </c>
      <c r="D5" s="5" t="s">
        <v>1289</v>
      </c>
      <c r="E5" s="5" t="s">
        <v>1289</v>
      </c>
      <c r="F5" s="5" t="s">
        <v>1289</v>
      </c>
      <c r="G5" s="5" t="s">
        <v>1289</v>
      </c>
      <c r="H5" s="5" t="s">
        <v>1289</v>
      </c>
      <c r="I5" s="5" t="s">
        <v>1289</v>
      </c>
      <c r="J5" s="5" t="s">
        <v>1289</v>
      </c>
      <c r="K5" s="5" t="s">
        <v>1289</v>
      </c>
    </row>
    <row r="6" spans="1:11" x14ac:dyDescent="0.25">
      <c r="A6" s="5" t="s">
        <v>1289</v>
      </c>
      <c r="B6" s="5" t="s">
        <v>1289</v>
      </c>
      <c r="C6" s="5" t="s">
        <v>1289</v>
      </c>
      <c r="D6" s="5" t="s">
        <v>1289</v>
      </c>
      <c r="E6" s="5" t="s">
        <v>1289</v>
      </c>
      <c r="F6" s="5" t="s">
        <v>1289</v>
      </c>
      <c r="G6" s="5" t="s">
        <v>1289</v>
      </c>
      <c r="H6" s="5" t="s">
        <v>1289</v>
      </c>
      <c r="I6" s="5" t="s">
        <v>1289</v>
      </c>
      <c r="J6" s="5" t="s">
        <v>1289</v>
      </c>
      <c r="K6" s="5" t="s">
        <v>1289</v>
      </c>
    </row>
    <row r="7" spans="1:11" x14ac:dyDescent="0.25">
      <c r="A7" s="5" t="s">
        <v>1289</v>
      </c>
      <c r="B7" s="5" t="s">
        <v>1289</v>
      </c>
      <c r="C7" s="5" t="s">
        <v>1289</v>
      </c>
      <c r="D7" s="5" t="s">
        <v>1289</v>
      </c>
      <c r="E7" s="5" t="s">
        <v>1289</v>
      </c>
      <c r="F7" s="5" t="s">
        <v>1289</v>
      </c>
      <c r="G7" s="5" t="s">
        <v>1289</v>
      </c>
      <c r="H7" s="5" t="s">
        <v>1289</v>
      </c>
      <c r="I7" s="5" t="s">
        <v>1289</v>
      </c>
      <c r="J7" s="5" t="s">
        <v>1289</v>
      </c>
      <c r="K7" s="5" t="s">
        <v>1289</v>
      </c>
    </row>
  </sheetData>
  <mergeCells count="1">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workbookViewId="0">
      <selection activeCell="F16" sqref="F16"/>
    </sheetView>
  </sheetViews>
  <sheetFormatPr defaultRowHeight="15" x14ac:dyDescent="0.25"/>
  <cols>
    <col min="1" max="1" width="6.5703125" bestFit="1" customWidth="1"/>
    <col min="2" max="2" width="30.5703125" customWidth="1"/>
  </cols>
  <sheetData>
    <row r="1" spans="1:2" ht="30.75" thickBot="1" x14ac:dyDescent="0.3">
      <c r="A1" s="2" t="s">
        <v>211</v>
      </c>
      <c r="B1" s="2" t="s">
        <v>242</v>
      </c>
    </row>
    <row r="2" spans="1:2" ht="45.75" thickBot="1" x14ac:dyDescent="0.3">
      <c r="A2" s="2" t="s">
        <v>215</v>
      </c>
      <c r="B2" s="2" t="s">
        <v>243</v>
      </c>
    </row>
    <row r="3" spans="1:2" ht="30.75" thickBot="1" x14ac:dyDescent="0.3">
      <c r="A3" s="2" t="s">
        <v>219</v>
      </c>
      <c r="B3" s="2" t="s">
        <v>244</v>
      </c>
    </row>
    <row r="4" spans="1:2" ht="45.75" thickBot="1" x14ac:dyDescent="0.3">
      <c r="A4" s="2" t="s">
        <v>222</v>
      </c>
      <c r="B4" s="2" t="s">
        <v>245</v>
      </c>
    </row>
    <row r="5" spans="1:2" ht="45.75" thickBot="1" x14ac:dyDescent="0.3">
      <c r="A5" s="2" t="s">
        <v>226</v>
      </c>
      <c r="B5" s="2" t="s">
        <v>246</v>
      </c>
    </row>
    <row r="6" spans="1:2" ht="30.75" thickBot="1" x14ac:dyDescent="0.3">
      <c r="A6" s="2" t="s">
        <v>230</v>
      </c>
      <c r="B6" s="2" t="s">
        <v>247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election activeCell="C11" sqref="C11"/>
    </sheetView>
  </sheetViews>
  <sheetFormatPr defaultRowHeight="15" x14ac:dyDescent="0.25"/>
  <cols>
    <col min="1" max="1" width="6.5703125" bestFit="1" customWidth="1"/>
    <col min="2" max="2" width="53.140625" customWidth="1"/>
  </cols>
  <sheetData>
    <row r="1" spans="1:2" ht="30.75" thickBot="1" x14ac:dyDescent="0.3">
      <c r="A1" s="2" t="s">
        <v>211</v>
      </c>
      <c r="B1" s="2" t="s">
        <v>242</v>
      </c>
    </row>
    <row r="2" spans="1:2" ht="15.75" thickBot="1" x14ac:dyDescent="0.3">
      <c r="A2" s="2" t="s">
        <v>215</v>
      </c>
      <c r="B2" s="2" t="s">
        <v>248</v>
      </c>
    </row>
    <row r="3" spans="1:2" ht="15.75" thickBot="1" x14ac:dyDescent="0.3">
      <c r="A3" s="2" t="s">
        <v>219</v>
      </c>
      <c r="B3" s="2" t="s">
        <v>249</v>
      </c>
    </row>
    <row r="4" spans="1:2" ht="45.75" thickBot="1" x14ac:dyDescent="0.3">
      <c r="A4" s="2" t="s">
        <v>222</v>
      </c>
      <c r="B4" s="2" t="s">
        <v>250</v>
      </c>
    </row>
    <row r="5" spans="1:2" ht="30.75" thickBot="1" x14ac:dyDescent="0.3">
      <c r="A5" s="2" t="s">
        <v>226</v>
      </c>
      <c r="B5" s="2" t="s">
        <v>251</v>
      </c>
    </row>
    <row r="6" spans="1:2" ht="30.75" thickBot="1" x14ac:dyDescent="0.3">
      <c r="A6" s="2" t="s">
        <v>230</v>
      </c>
      <c r="B6" s="2" t="s">
        <v>252</v>
      </c>
    </row>
    <row r="7" spans="1:2" ht="15.75" thickBot="1" x14ac:dyDescent="0.3">
      <c r="A7" s="2" t="s">
        <v>234</v>
      </c>
      <c r="B7" s="2" t="s">
        <v>253</v>
      </c>
    </row>
    <row r="8" spans="1:2" ht="30.75" thickBot="1" x14ac:dyDescent="0.3">
      <c r="A8" s="2" t="s">
        <v>238</v>
      </c>
      <c r="B8" s="2" t="s">
        <v>254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3"/>
  <sheetViews>
    <sheetView topLeftCell="A4" zoomScale="130" zoomScaleNormal="130" workbookViewId="0">
      <selection activeCell="D12" sqref="D12"/>
    </sheetView>
  </sheetViews>
  <sheetFormatPr defaultRowHeight="15" x14ac:dyDescent="0.25"/>
  <cols>
    <col min="1" max="1" width="41.28515625" customWidth="1"/>
    <col min="2" max="2" width="20.28515625" customWidth="1"/>
    <col min="3" max="3" width="62.5703125" bestFit="1" customWidth="1"/>
    <col min="4" max="4" width="83.140625" bestFit="1" customWidth="1"/>
  </cols>
  <sheetData>
    <row r="1" spans="1:4" x14ac:dyDescent="0.25">
      <c r="A1" s="79" t="s">
        <v>255</v>
      </c>
      <c r="B1" s="79" t="s">
        <v>256</v>
      </c>
      <c r="C1" s="79" t="s">
        <v>257</v>
      </c>
      <c r="D1" s="79" t="s">
        <v>160</v>
      </c>
    </row>
    <row r="2" spans="1:4" x14ac:dyDescent="0.25">
      <c r="A2" s="128" t="s">
        <v>258</v>
      </c>
      <c r="B2" s="128" t="s">
        <v>259</v>
      </c>
      <c r="C2" s="124" t="s">
        <v>1369</v>
      </c>
      <c r="D2" s="96" t="s">
        <v>1320</v>
      </c>
    </row>
    <row r="3" spans="1:4" x14ac:dyDescent="0.25">
      <c r="A3" s="129"/>
      <c r="B3" s="129"/>
      <c r="C3" s="125"/>
      <c r="D3" s="96" t="s">
        <v>1347</v>
      </c>
    </row>
    <row r="4" spans="1:4" x14ac:dyDescent="0.25">
      <c r="A4" s="126" t="s">
        <v>260</v>
      </c>
      <c r="B4" s="127" t="s">
        <v>261</v>
      </c>
      <c r="C4" s="125" t="s">
        <v>1370</v>
      </c>
      <c r="D4" s="96" t="s">
        <v>1348</v>
      </c>
    </row>
    <row r="5" spans="1:4" x14ac:dyDescent="0.25">
      <c r="A5" s="126"/>
      <c r="B5" s="127"/>
      <c r="C5" s="125"/>
      <c r="D5" s="96" t="s">
        <v>1447</v>
      </c>
    </row>
    <row r="6" spans="1:4" x14ac:dyDescent="0.25">
      <c r="A6" s="80" t="s">
        <v>262</v>
      </c>
      <c r="B6" s="80" t="s">
        <v>263</v>
      </c>
      <c r="C6" s="82" t="s">
        <v>1371</v>
      </c>
      <c r="D6" s="96" t="s">
        <v>1349</v>
      </c>
    </row>
    <row r="7" spans="1:4" x14ac:dyDescent="0.25">
      <c r="A7" s="81" t="s">
        <v>264</v>
      </c>
      <c r="B7" s="84" t="s">
        <v>1373</v>
      </c>
      <c r="C7" s="89" t="s">
        <v>1438</v>
      </c>
      <c r="D7" s="96" t="s">
        <v>175</v>
      </c>
    </row>
    <row r="8" spans="1:4" x14ac:dyDescent="0.25">
      <c r="A8" s="102" t="s">
        <v>1405</v>
      </c>
      <c r="B8" s="94" t="s">
        <v>1372</v>
      </c>
      <c r="C8" s="92" t="s">
        <v>171</v>
      </c>
      <c r="D8" s="96" t="s">
        <v>171</v>
      </c>
    </row>
    <row r="9" spans="1:4" x14ac:dyDescent="0.25">
      <c r="A9" s="103" t="s">
        <v>1406</v>
      </c>
      <c r="B9" s="93" t="s">
        <v>1392</v>
      </c>
      <c r="C9" s="86" t="s">
        <v>172</v>
      </c>
      <c r="D9" s="96" t="s">
        <v>172</v>
      </c>
    </row>
    <row r="10" spans="1:4" ht="26.25" x14ac:dyDescent="0.25">
      <c r="A10" s="81" t="s">
        <v>1400</v>
      </c>
      <c r="B10" s="81" t="s">
        <v>1351</v>
      </c>
      <c r="C10" s="99" t="s">
        <v>1441</v>
      </c>
      <c r="D10" s="83" t="s">
        <v>1321</v>
      </c>
    </row>
    <row r="11" spans="1:4" x14ac:dyDescent="0.25">
      <c r="A11" s="80"/>
      <c r="B11" s="80"/>
      <c r="C11" s="85"/>
      <c r="D11" s="99" t="s">
        <v>171</v>
      </c>
    </row>
    <row r="12" spans="1:4" x14ac:dyDescent="0.25">
      <c r="A12" s="80"/>
      <c r="B12" s="80"/>
      <c r="C12" s="85"/>
      <c r="D12" s="96" t="s">
        <v>172</v>
      </c>
    </row>
    <row r="13" spans="1:4" x14ac:dyDescent="0.25">
      <c r="A13" s="81" t="s">
        <v>1401</v>
      </c>
      <c r="B13" s="81" t="s">
        <v>1352</v>
      </c>
      <c r="C13" s="104" t="s">
        <v>1442</v>
      </c>
      <c r="D13" s="96" t="s">
        <v>1322</v>
      </c>
    </row>
    <row r="14" spans="1:4" x14ac:dyDescent="0.25">
      <c r="A14" s="80"/>
      <c r="B14" s="80"/>
      <c r="C14" s="85"/>
      <c r="D14" s="96" t="s">
        <v>1323</v>
      </c>
    </row>
    <row r="15" spans="1:4" x14ac:dyDescent="0.25">
      <c r="A15" s="88"/>
      <c r="B15" s="80"/>
      <c r="C15" s="85"/>
      <c r="D15" s="96" t="s">
        <v>1324</v>
      </c>
    </row>
    <row r="16" spans="1:4" x14ac:dyDescent="0.25">
      <c r="A16" s="88"/>
      <c r="B16" s="80"/>
      <c r="C16" s="85"/>
      <c r="D16" s="96" t="s">
        <v>1325</v>
      </c>
    </row>
    <row r="17" spans="1:4" x14ac:dyDescent="0.25">
      <c r="A17" s="88"/>
      <c r="B17" s="80"/>
      <c r="C17" s="85"/>
      <c r="D17" s="96" t="s">
        <v>1326</v>
      </c>
    </row>
    <row r="18" spans="1:4" x14ac:dyDescent="0.25">
      <c r="A18" s="88"/>
      <c r="B18" s="80"/>
      <c r="C18" s="81" t="s">
        <v>265</v>
      </c>
      <c r="D18" s="96" t="s">
        <v>1327</v>
      </c>
    </row>
    <row r="19" spans="1:4" x14ac:dyDescent="0.25">
      <c r="A19" s="88"/>
      <c r="B19" s="80"/>
      <c r="C19" s="80"/>
      <c r="D19" s="96" t="s">
        <v>1328</v>
      </c>
    </row>
    <row r="20" spans="1:4" x14ac:dyDescent="0.25">
      <c r="A20" s="88"/>
      <c r="B20" s="80"/>
      <c r="C20" s="80"/>
      <c r="D20" s="96" t="s">
        <v>1329</v>
      </c>
    </row>
    <row r="21" spans="1:4" x14ac:dyDescent="0.25">
      <c r="A21" s="88"/>
      <c r="B21" s="80"/>
      <c r="C21" s="80" t="s">
        <v>266</v>
      </c>
      <c r="D21" s="96" t="s">
        <v>1330</v>
      </c>
    </row>
    <row r="22" spans="1:4" x14ac:dyDescent="0.25">
      <c r="A22" s="88"/>
      <c r="B22" s="80"/>
      <c r="C22" s="80" t="s">
        <v>267</v>
      </c>
      <c r="D22" s="96" t="s">
        <v>1331</v>
      </c>
    </row>
    <row r="23" spans="1:4" x14ac:dyDescent="0.25">
      <c r="A23" s="88"/>
      <c r="B23" s="80"/>
      <c r="C23" s="80"/>
      <c r="D23" s="96" t="s">
        <v>1332</v>
      </c>
    </row>
    <row r="24" spans="1:4" x14ac:dyDescent="0.25">
      <c r="A24" s="80"/>
      <c r="B24" s="80"/>
      <c r="C24" s="89" t="s">
        <v>1333</v>
      </c>
      <c r="D24" s="96" t="s">
        <v>1359</v>
      </c>
    </row>
    <row r="25" spans="1:4" x14ac:dyDescent="0.25">
      <c r="A25" s="81" t="s">
        <v>268</v>
      </c>
      <c r="B25" s="81" t="s">
        <v>269</v>
      </c>
      <c r="C25" s="87" t="s">
        <v>270</v>
      </c>
      <c r="D25" s="96" t="s">
        <v>1334</v>
      </c>
    </row>
    <row r="26" spans="1:4" x14ac:dyDescent="0.25">
      <c r="A26" s="80"/>
      <c r="B26" s="80"/>
      <c r="C26" s="85"/>
      <c r="D26" s="96" t="s">
        <v>1335</v>
      </c>
    </row>
    <row r="27" spans="1:4" x14ac:dyDescent="0.25">
      <c r="A27" s="80"/>
      <c r="B27" s="80"/>
      <c r="C27" s="85"/>
      <c r="D27" s="96" t="s">
        <v>1336</v>
      </c>
    </row>
    <row r="28" spans="1:4" x14ac:dyDescent="0.25">
      <c r="A28" s="80"/>
      <c r="B28" s="80"/>
      <c r="C28" s="85"/>
      <c r="D28" s="96" t="s">
        <v>1337</v>
      </c>
    </row>
    <row r="29" spans="1:4" x14ac:dyDescent="0.25">
      <c r="A29" s="80"/>
      <c r="B29" s="80"/>
      <c r="C29" s="85"/>
      <c r="D29" s="96" t="s">
        <v>1338</v>
      </c>
    </row>
    <row r="30" spans="1:4" x14ac:dyDescent="0.25">
      <c r="A30" s="80"/>
      <c r="B30" s="80"/>
      <c r="C30" s="85"/>
      <c r="D30" s="96" t="s">
        <v>1339</v>
      </c>
    </row>
    <row r="31" spans="1:4" x14ac:dyDescent="0.25">
      <c r="A31" s="80"/>
      <c r="B31" s="80"/>
      <c r="C31" s="85"/>
      <c r="D31" s="96" t="s">
        <v>1340</v>
      </c>
    </row>
    <row r="32" spans="1:4" x14ac:dyDescent="0.25">
      <c r="A32" s="80"/>
      <c r="B32" s="80"/>
      <c r="C32" s="85"/>
      <c r="D32" s="96" t="s">
        <v>1341</v>
      </c>
    </row>
    <row r="33" spans="1:4" x14ac:dyDescent="0.25">
      <c r="A33" s="80"/>
      <c r="B33" s="80"/>
      <c r="C33" s="80" t="s">
        <v>271</v>
      </c>
      <c r="D33" s="96" t="s">
        <v>1342</v>
      </c>
    </row>
    <row r="34" spans="1:4" x14ac:dyDescent="0.25">
      <c r="A34" s="80"/>
      <c r="B34" s="80"/>
      <c r="C34" s="80"/>
      <c r="D34" s="96" t="s">
        <v>1343</v>
      </c>
    </row>
    <row r="35" spans="1:4" x14ac:dyDescent="0.25">
      <c r="A35" s="80"/>
      <c r="B35" s="80"/>
      <c r="C35" s="80"/>
      <c r="D35" s="96" t="s">
        <v>1344</v>
      </c>
    </row>
    <row r="36" spans="1:4" x14ac:dyDescent="0.25">
      <c r="A36" s="80"/>
      <c r="B36" s="80"/>
      <c r="C36" s="80"/>
      <c r="D36" s="96" t="s">
        <v>1345</v>
      </c>
    </row>
    <row r="37" spans="1:4" x14ac:dyDescent="0.25">
      <c r="A37" s="100" t="s">
        <v>1374</v>
      </c>
      <c r="B37" s="100" t="s">
        <v>1375</v>
      </c>
      <c r="C37" s="98" t="s">
        <v>173</v>
      </c>
      <c r="D37" s="96" t="s">
        <v>173</v>
      </c>
    </row>
    <row r="38" spans="1:4" x14ac:dyDescent="0.25">
      <c r="A38" s="118" t="s">
        <v>1376</v>
      </c>
      <c r="B38" s="120" t="s">
        <v>1377</v>
      </c>
      <c r="C38" s="122" t="s">
        <v>1403</v>
      </c>
      <c r="D38" s="99" t="s">
        <v>1402</v>
      </c>
    </row>
    <row r="39" spans="1:4" x14ac:dyDescent="0.25">
      <c r="A39" s="119"/>
      <c r="B39" s="121"/>
      <c r="C39" s="123"/>
      <c r="D39" s="96" t="s">
        <v>174</v>
      </c>
    </row>
    <row r="40" spans="1:4" ht="39" x14ac:dyDescent="0.25">
      <c r="A40" s="81" t="s">
        <v>1380</v>
      </c>
      <c r="B40" s="90" t="s">
        <v>1353</v>
      </c>
      <c r="C40" s="101" t="s">
        <v>1404</v>
      </c>
      <c r="D40" s="96" t="s">
        <v>1346</v>
      </c>
    </row>
    <row r="41" spans="1:4" x14ac:dyDescent="0.25">
      <c r="A41" s="81" t="s">
        <v>272</v>
      </c>
      <c r="B41" s="81" t="s">
        <v>273</v>
      </c>
      <c r="C41" s="81" t="s">
        <v>274</v>
      </c>
      <c r="D41" s="81"/>
    </row>
    <row r="42" spans="1:4" x14ac:dyDescent="0.25">
      <c r="A42" s="81" t="s">
        <v>1440</v>
      </c>
      <c r="B42" s="81" t="s">
        <v>180</v>
      </c>
      <c r="C42" s="111" t="s">
        <v>180</v>
      </c>
      <c r="D42" s="111" t="s">
        <v>180</v>
      </c>
    </row>
    <row r="43" spans="1:4" x14ac:dyDescent="0.25">
      <c r="A43" s="87" t="s">
        <v>1378</v>
      </c>
      <c r="B43" s="87" t="s">
        <v>1379</v>
      </c>
      <c r="C43" s="87" t="s">
        <v>1399</v>
      </c>
      <c r="D43" s="87"/>
    </row>
  </sheetData>
  <mergeCells count="9">
    <mergeCell ref="A38:A39"/>
    <mergeCell ref="B38:B39"/>
    <mergeCell ref="C38:C39"/>
    <mergeCell ref="C2:C3"/>
    <mergeCell ref="A4:A5"/>
    <mergeCell ref="B4:B5"/>
    <mergeCell ref="C4:C5"/>
    <mergeCell ref="A2:A3"/>
    <mergeCell ref="B2:B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0"/>
  <sheetViews>
    <sheetView workbookViewId="0">
      <selection activeCell="L9" sqref="L9"/>
    </sheetView>
  </sheetViews>
  <sheetFormatPr defaultRowHeight="15" x14ac:dyDescent="0.25"/>
  <sheetData>
    <row r="1" spans="1:8" ht="15.75" x14ac:dyDescent="0.25">
      <c r="A1" s="50" t="s">
        <v>275</v>
      </c>
      <c r="B1" s="50" t="s">
        <v>276</v>
      </c>
      <c r="C1" s="50" t="s">
        <v>277</v>
      </c>
      <c r="D1" s="50" t="s">
        <v>278</v>
      </c>
      <c r="E1" s="50" t="s">
        <v>279</v>
      </c>
      <c r="F1" s="50" t="s">
        <v>280</v>
      </c>
      <c r="G1" s="50" t="s">
        <v>1368</v>
      </c>
      <c r="H1" s="50" t="s">
        <v>281</v>
      </c>
    </row>
    <row r="2" spans="1:8" ht="15.75" x14ac:dyDescent="0.25">
      <c r="A2" s="51" t="s">
        <v>282</v>
      </c>
      <c r="B2" s="51" t="s">
        <v>283</v>
      </c>
      <c r="C2" s="51" t="s">
        <v>284</v>
      </c>
      <c r="D2" s="51" t="s">
        <v>285</v>
      </c>
      <c r="E2" s="52" t="s">
        <v>286</v>
      </c>
      <c r="F2" s="51" t="s">
        <v>287</v>
      </c>
      <c r="G2" s="51" t="s">
        <v>288</v>
      </c>
      <c r="H2" s="51" t="s">
        <v>289</v>
      </c>
    </row>
    <row r="3" spans="1:8" ht="15.75" x14ac:dyDescent="0.25">
      <c r="A3" s="51" t="s">
        <v>282</v>
      </c>
      <c r="B3" s="51" t="s">
        <v>290</v>
      </c>
      <c r="C3" s="51" t="s">
        <v>284</v>
      </c>
      <c r="D3" s="51" t="s">
        <v>291</v>
      </c>
      <c r="E3" s="52" t="s">
        <v>292</v>
      </c>
      <c r="F3" s="51" t="s">
        <v>293</v>
      </c>
      <c r="G3" s="51" t="s">
        <v>288</v>
      </c>
      <c r="H3" s="51" t="s">
        <v>294</v>
      </c>
    </row>
    <row r="4" spans="1:8" ht="15.75" x14ac:dyDescent="0.25">
      <c r="A4" s="51" t="s">
        <v>282</v>
      </c>
      <c r="B4" s="51" t="s">
        <v>295</v>
      </c>
      <c r="C4" s="51" t="s">
        <v>284</v>
      </c>
      <c r="D4" s="51" t="s">
        <v>296</v>
      </c>
      <c r="E4" s="52" t="s">
        <v>297</v>
      </c>
      <c r="F4" s="51" t="s">
        <v>298</v>
      </c>
      <c r="G4" s="51" t="s">
        <v>288</v>
      </c>
      <c r="H4" s="51" t="s">
        <v>299</v>
      </c>
    </row>
    <row r="5" spans="1:8" ht="15.75" x14ac:dyDescent="0.25">
      <c r="A5" s="51" t="s">
        <v>300</v>
      </c>
      <c r="B5" s="51" t="s">
        <v>301</v>
      </c>
      <c r="C5" s="51" t="s">
        <v>284</v>
      </c>
      <c r="D5" s="51" t="s">
        <v>302</v>
      </c>
      <c r="E5" s="52" t="s">
        <v>303</v>
      </c>
      <c r="F5" s="51" t="s">
        <v>304</v>
      </c>
      <c r="G5" s="51" t="s">
        <v>305</v>
      </c>
      <c r="H5" s="51" t="s">
        <v>299</v>
      </c>
    </row>
    <row r="6" spans="1:8" ht="15.75" x14ac:dyDescent="0.25">
      <c r="A6" s="51" t="s">
        <v>300</v>
      </c>
      <c r="B6" s="51" t="s">
        <v>306</v>
      </c>
      <c r="C6" s="51" t="s">
        <v>284</v>
      </c>
      <c r="D6" s="51" t="s">
        <v>307</v>
      </c>
      <c r="E6" s="52" t="s">
        <v>308</v>
      </c>
      <c r="F6" s="51" t="s">
        <v>309</v>
      </c>
      <c r="G6" s="51" t="s">
        <v>305</v>
      </c>
      <c r="H6" s="51" t="s">
        <v>310</v>
      </c>
    </row>
    <row r="7" spans="1:8" ht="15.75" x14ac:dyDescent="0.25">
      <c r="A7" s="51" t="s">
        <v>282</v>
      </c>
      <c r="B7" s="51" t="s">
        <v>311</v>
      </c>
      <c r="C7" s="51" t="s">
        <v>284</v>
      </c>
      <c r="D7" s="51" t="s">
        <v>312</v>
      </c>
      <c r="E7" s="52" t="s">
        <v>313</v>
      </c>
      <c r="F7" s="51" t="s">
        <v>314</v>
      </c>
      <c r="G7" s="51" t="s">
        <v>288</v>
      </c>
      <c r="H7" s="51" t="s">
        <v>310</v>
      </c>
    </row>
    <row r="8" spans="1:8" ht="15.75" x14ac:dyDescent="0.25">
      <c r="A8" s="51" t="s">
        <v>300</v>
      </c>
      <c r="B8" s="51" t="s">
        <v>315</v>
      </c>
      <c r="C8" s="51" t="s">
        <v>284</v>
      </c>
      <c r="D8" s="51" t="s">
        <v>316</v>
      </c>
      <c r="E8" s="52" t="s">
        <v>317</v>
      </c>
      <c r="F8" s="51" t="s">
        <v>318</v>
      </c>
      <c r="G8" s="51" t="s">
        <v>288</v>
      </c>
      <c r="H8" s="51" t="s">
        <v>294</v>
      </c>
    </row>
    <row r="9" spans="1:8" ht="15.75" x14ac:dyDescent="0.25">
      <c r="A9" s="51" t="s">
        <v>300</v>
      </c>
      <c r="B9" s="51" t="s">
        <v>319</v>
      </c>
      <c r="C9" s="51" t="s">
        <v>284</v>
      </c>
      <c r="D9" s="51" t="s">
        <v>320</v>
      </c>
      <c r="E9" s="52" t="s">
        <v>321</v>
      </c>
      <c r="F9" s="51" t="s">
        <v>322</v>
      </c>
      <c r="G9" s="51" t="s">
        <v>288</v>
      </c>
      <c r="H9" s="51" t="s">
        <v>323</v>
      </c>
    </row>
    <row r="10" spans="1:8" ht="15.75" x14ac:dyDescent="0.25">
      <c r="A10" s="51" t="s">
        <v>300</v>
      </c>
      <c r="B10" s="51" t="s">
        <v>324</v>
      </c>
      <c r="C10" s="51" t="s">
        <v>284</v>
      </c>
      <c r="D10" s="51" t="s">
        <v>325</v>
      </c>
      <c r="E10" s="52" t="s">
        <v>326</v>
      </c>
      <c r="F10" s="51" t="s">
        <v>327</v>
      </c>
      <c r="G10" s="51" t="s">
        <v>305</v>
      </c>
      <c r="H10" s="51" t="s">
        <v>323</v>
      </c>
    </row>
    <row r="11" spans="1:8" ht="15.75" x14ac:dyDescent="0.25">
      <c r="A11" s="51" t="s">
        <v>300</v>
      </c>
      <c r="B11" s="51" t="s">
        <v>328</v>
      </c>
      <c r="C11" s="51" t="s">
        <v>284</v>
      </c>
      <c r="D11" s="51" t="s">
        <v>329</v>
      </c>
      <c r="E11" s="52" t="s">
        <v>330</v>
      </c>
      <c r="F11" s="51" t="s">
        <v>331</v>
      </c>
      <c r="G11" s="51" t="s">
        <v>305</v>
      </c>
      <c r="H11" s="51" t="s">
        <v>332</v>
      </c>
    </row>
    <row r="12" spans="1:8" ht="15.75" x14ac:dyDescent="0.25">
      <c r="A12" s="51" t="s">
        <v>300</v>
      </c>
      <c r="B12" s="51" t="s">
        <v>333</v>
      </c>
      <c r="C12" s="51" t="s">
        <v>284</v>
      </c>
      <c r="D12" s="51" t="s">
        <v>334</v>
      </c>
      <c r="E12" s="52" t="s">
        <v>335</v>
      </c>
      <c r="F12" s="51" t="s">
        <v>336</v>
      </c>
      <c r="G12" s="51" t="s">
        <v>288</v>
      </c>
      <c r="H12" s="51" t="s">
        <v>332</v>
      </c>
    </row>
    <row r="13" spans="1:8" ht="15.75" x14ac:dyDescent="0.25">
      <c r="A13" s="51" t="s">
        <v>300</v>
      </c>
      <c r="B13" s="51" t="s">
        <v>337</v>
      </c>
      <c r="C13" s="51" t="s">
        <v>284</v>
      </c>
      <c r="D13" s="51" t="s">
        <v>338</v>
      </c>
      <c r="E13" s="52" t="s">
        <v>339</v>
      </c>
      <c r="F13" s="51" t="s">
        <v>340</v>
      </c>
      <c r="G13" s="51" t="s">
        <v>288</v>
      </c>
      <c r="H13" s="51" t="s">
        <v>294</v>
      </c>
    </row>
    <row r="14" spans="1:8" ht="15.75" x14ac:dyDescent="0.25">
      <c r="A14" s="51" t="s">
        <v>300</v>
      </c>
      <c r="B14" s="51" t="s">
        <v>341</v>
      </c>
      <c r="C14" s="51" t="s">
        <v>284</v>
      </c>
      <c r="D14" s="51" t="s">
        <v>342</v>
      </c>
      <c r="E14" s="52" t="s">
        <v>343</v>
      </c>
      <c r="F14" s="51" t="s">
        <v>344</v>
      </c>
      <c r="G14" s="51" t="s">
        <v>288</v>
      </c>
      <c r="H14" s="51" t="s">
        <v>345</v>
      </c>
    </row>
    <row r="15" spans="1:8" ht="15.75" x14ac:dyDescent="0.25">
      <c r="A15" s="51" t="s">
        <v>300</v>
      </c>
      <c r="B15" s="51" t="s">
        <v>346</v>
      </c>
      <c r="C15" s="51" t="s">
        <v>284</v>
      </c>
      <c r="D15" s="51" t="s">
        <v>347</v>
      </c>
      <c r="E15" s="52" t="s">
        <v>348</v>
      </c>
      <c r="F15" s="51" t="s">
        <v>349</v>
      </c>
      <c r="G15" s="51" t="s">
        <v>305</v>
      </c>
      <c r="H15" s="51" t="s">
        <v>345</v>
      </c>
    </row>
    <row r="16" spans="1:8" ht="15.75" x14ac:dyDescent="0.25">
      <c r="A16" s="51" t="s">
        <v>300</v>
      </c>
      <c r="B16" s="51" t="s">
        <v>350</v>
      </c>
      <c r="C16" s="51" t="s">
        <v>284</v>
      </c>
      <c r="D16" s="51" t="s">
        <v>351</v>
      </c>
      <c r="E16" s="52" t="s">
        <v>352</v>
      </c>
      <c r="F16" s="51" t="s">
        <v>353</v>
      </c>
      <c r="G16" s="51" t="s">
        <v>305</v>
      </c>
      <c r="H16" s="51" t="s">
        <v>354</v>
      </c>
    </row>
    <row r="17" spans="1:8" ht="15.75" x14ac:dyDescent="0.25">
      <c r="A17" s="51" t="s">
        <v>300</v>
      </c>
      <c r="B17" s="51" t="s">
        <v>355</v>
      </c>
      <c r="C17" s="51" t="s">
        <v>284</v>
      </c>
      <c r="D17" s="51" t="s">
        <v>356</v>
      </c>
      <c r="E17" s="52" t="s">
        <v>357</v>
      </c>
      <c r="F17" s="51" t="s">
        <v>358</v>
      </c>
      <c r="G17" s="51" t="s">
        <v>288</v>
      </c>
      <c r="H17" s="51" t="s">
        <v>354</v>
      </c>
    </row>
    <row r="18" spans="1:8" ht="15.75" x14ac:dyDescent="0.25">
      <c r="A18" s="51" t="s">
        <v>300</v>
      </c>
      <c r="B18" s="51" t="s">
        <v>359</v>
      </c>
      <c r="C18" s="51" t="s">
        <v>284</v>
      </c>
      <c r="D18" s="51" t="s">
        <v>360</v>
      </c>
      <c r="E18" s="52" t="s">
        <v>361</v>
      </c>
      <c r="F18" s="51" t="s">
        <v>362</v>
      </c>
      <c r="G18" s="51" t="s">
        <v>288</v>
      </c>
      <c r="H18" s="51" t="s">
        <v>294</v>
      </c>
    </row>
    <row r="19" spans="1:8" ht="15.75" x14ac:dyDescent="0.25">
      <c r="A19" s="51" t="s">
        <v>300</v>
      </c>
      <c r="B19" s="51" t="s">
        <v>363</v>
      </c>
      <c r="C19" s="51" t="s">
        <v>284</v>
      </c>
      <c r="D19" s="51" t="s">
        <v>360</v>
      </c>
      <c r="E19" s="52" t="s">
        <v>364</v>
      </c>
      <c r="F19" s="51" t="s">
        <v>362</v>
      </c>
      <c r="G19" s="51" t="s">
        <v>288</v>
      </c>
      <c r="H19" s="51" t="s">
        <v>294</v>
      </c>
    </row>
    <row r="20" spans="1:8" ht="15.75" x14ac:dyDescent="0.25">
      <c r="A20" s="51" t="s">
        <v>300</v>
      </c>
      <c r="B20" s="51" t="s">
        <v>365</v>
      </c>
      <c r="C20" s="51" t="s">
        <v>366</v>
      </c>
      <c r="D20" s="51" t="s">
        <v>367</v>
      </c>
      <c r="E20" s="52" t="s">
        <v>368</v>
      </c>
      <c r="F20" s="51" t="s">
        <v>369</v>
      </c>
      <c r="G20" s="51" t="s">
        <v>288</v>
      </c>
      <c r="H20" s="51" t="s">
        <v>370</v>
      </c>
    </row>
    <row r="21" spans="1:8" ht="15.75" x14ac:dyDescent="0.25">
      <c r="A21" s="51" t="s">
        <v>300</v>
      </c>
      <c r="B21" s="51" t="s">
        <v>371</v>
      </c>
      <c r="C21" s="51" t="s">
        <v>284</v>
      </c>
      <c r="D21" s="51" t="s">
        <v>372</v>
      </c>
      <c r="E21" s="52" t="s">
        <v>373</v>
      </c>
      <c r="F21" s="51" t="s">
        <v>374</v>
      </c>
      <c r="G21" s="51" t="s">
        <v>305</v>
      </c>
      <c r="H21" s="51" t="s">
        <v>370</v>
      </c>
    </row>
    <row r="22" spans="1:8" ht="15.75" x14ac:dyDescent="0.25">
      <c r="A22" s="51" t="s">
        <v>300</v>
      </c>
      <c r="B22" s="51" t="s">
        <v>375</v>
      </c>
      <c r="C22" s="51" t="s">
        <v>284</v>
      </c>
      <c r="D22" s="51" t="s">
        <v>376</v>
      </c>
      <c r="E22" s="52" t="s">
        <v>377</v>
      </c>
      <c r="F22" s="51" t="s">
        <v>378</v>
      </c>
      <c r="G22" s="51" t="s">
        <v>305</v>
      </c>
      <c r="H22" s="51" t="s">
        <v>379</v>
      </c>
    </row>
    <row r="23" spans="1:8" ht="15.75" x14ac:dyDescent="0.25">
      <c r="A23" s="51" t="s">
        <v>300</v>
      </c>
      <c r="B23" s="51" t="s">
        <v>380</v>
      </c>
      <c r="C23" s="51" t="s">
        <v>366</v>
      </c>
      <c r="D23" s="51" t="s">
        <v>381</v>
      </c>
      <c r="E23" s="52" t="s">
        <v>382</v>
      </c>
      <c r="F23" s="51" t="s">
        <v>383</v>
      </c>
      <c r="G23" s="51" t="s">
        <v>288</v>
      </c>
      <c r="H23" s="51" t="s">
        <v>379</v>
      </c>
    </row>
    <row r="24" spans="1:8" ht="15.75" x14ac:dyDescent="0.25">
      <c r="A24" s="51" t="s">
        <v>300</v>
      </c>
      <c r="B24" s="51" t="s">
        <v>384</v>
      </c>
      <c r="C24" s="51" t="s">
        <v>366</v>
      </c>
      <c r="D24" s="51" t="s">
        <v>385</v>
      </c>
      <c r="E24" s="52" t="s">
        <v>386</v>
      </c>
      <c r="F24" s="51" t="s">
        <v>387</v>
      </c>
      <c r="G24" s="51" t="s">
        <v>288</v>
      </c>
      <c r="H24" s="51" t="s">
        <v>294</v>
      </c>
    </row>
    <row r="25" spans="1:8" ht="15.75" x14ac:dyDescent="0.25">
      <c r="A25" s="51" t="s">
        <v>300</v>
      </c>
      <c r="B25" s="51" t="s">
        <v>388</v>
      </c>
      <c r="C25" s="51" t="s">
        <v>366</v>
      </c>
      <c r="D25" s="51" t="s">
        <v>389</v>
      </c>
      <c r="E25" s="52" t="s">
        <v>390</v>
      </c>
      <c r="F25" s="51" t="s">
        <v>391</v>
      </c>
      <c r="G25" s="51" t="s">
        <v>288</v>
      </c>
      <c r="H25" s="51" t="s">
        <v>392</v>
      </c>
    </row>
    <row r="26" spans="1:8" ht="15.75" x14ac:dyDescent="0.25">
      <c r="A26" s="51" t="s">
        <v>393</v>
      </c>
      <c r="B26" s="51" t="s">
        <v>394</v>
      </c>
      <c r="C26" s="51" t="s">
        <v>284</v>
      </c>
      <c r="D26" s="51" t="s">
        <v>395</v>
      </c>
      <c r="E26" s="52" t="s">
        <v>396</v>
      </c>
      <c r="F26" s="51" t="s">
        <v>397</v>
      </c>
      <c r="G26" s="51" t="s">
        <v>305</v>
      </c>
      <c r="H26" s="51" t="s">
        <v>392</v>
      </c>
    </row>
    <row r="27" spans="1:8" ht="15.75" x14ac:dyDescent="0.25">
      <c r="A27" s="51" t="s">
        <v>393</v>
      </c>
      <c r="B27" s="51" t="s">
        <v>398</v>
      </c>
      <c r="C27" s="51" t="s">
        <v>284</v>
      </c>
      <c r="D27" s="51" t="s">
        <v>399</v>
      </c>
      <c r="E27" s="52" t="s">
        <v>400</v>
      </c>
      <c r="F27" s="51" t="s">
        <v>401</v>
      </c>
      <c r="G27" s="51" t="s">
        <v>305</v>
      </c>
      <c r="H27" s="51" t="s">
        <v>402</v>
      </c>
    </row>
    <row r="28" spans="1:8" ht="15.75" x14ac:dyDescent="0.25">
      <c r="A28" s="51" t="s">
        <v>393</v>
      </c>
      <c r="B28" s="51" t="s">
        <v>403</v>
      </c>
      <c r="C28" s="51" t="s">
        <v>366</v>
      </c>
      <c r="D28" s="51" t="s">
        <v>404</v>
      </c>
      <c r="E28" s="52" t="s">
        <v>405</v>
      </c>
      <c r="F28" s="51" t="s">
        <v>406</v>
      </c>
      <c r="G28" s="51" t="s">
        <v>288</v>
      </c>
      <c r="H28" s="51" t="s">
        <v>402</v>
      </c>
    </row>
    <row r="29" spans="1:8" ht="15.75" x14ac:dyDescent="0.25">
      <c r="A29" s="51" t="s">
        <v>393</v>
      </c>
      <c r="B29" s="51" t="s">
        <v>407</v>
      </c>
      <c r="C29" s="51" t="s">
        <v>366</v>
      </c>
      <c r="D29" s="51" t="s">
        <v>408</v>
      </c>
      <c r="E29" s="52" t="s">
        <v>409</v>
      </c>
      <c r="F29" s="51" t="s">
        <v>410</v>
      </c>
      <c r="G29" s="51" t="s">
        <v>288</v>
      </c>
      <c r="H29" s="51" t="s">
        <v>294</v>
      </c>
    </row>
    <row r="30" spans="1:8" ht="15.75" x14ac:dyDescent="0.25">
      <c r="A30" s="51" t="s">
        <v>393</v>
      </c>
      <c r="B30" s="51" t="s">
        <v>411</v>
      </c>
      <c r="C30" s="51" t="s">
        <v>366</v>
      </c>
      <c r="D30" s="51" t="s">
        <v>412</v>
      </c>
      <c r="E30" s="52" t="s">
        <v>413</v>
      </c>
      <c r="F30" s="51" t="s">
        <v>414</v>
      </c>
      <c r="G30" s="51" t="s">
        <v>288</v>
      </c>
      <c r="H30" s="51" t="s">
        <v>415</v>
      </c>
    </row>
    <row r="31" spans="1:8" ht="15.75" x14ac:dyDescent="0.25">
      <c r="A31" s="51" t="s">
        <v>393</v>
      </c>
      <c r="B31" s="51" t="s">
        <v>416</v>
      </c>
      <c r="C31" s="51" t="s">
        <v>366</v>
      </c>
      <c r="D31" s="51" t="s">
        <v>417</v>
      </c>
      <c r="E31" s="52" t="s">
        <v>418</v>
      </c>
      <c r="F31" s="51" t="s">
        <v>419</v>
      </c>
      <c r="G31" s="51" t="s">
        <v>288</v>
      </c>
      <c r="H31" s="51" t="s">
        <v>294</v>
      </c>
    </row>
    <row r="32" spans="1:8" ht="15.75" x14ac:dyDescent="0.25">
      <c r="A32" s="51" t="s">
        <v>393</v>
      </c>
      <c r="B32" s="51" t="s">
        <v>420</v>
      </c>
      <c r="C32" s="51" t="s">
        <v>366</v>
      </c>
      <c r="D32" s="51" t="s">
        <v>421</v>
      </c>
      <c r="E32" s="52" t="s">
        <v>422</v>
      </c>
      <c r="F32" s="51" t="s">
        <v>423</v>
      </c>
      <c r="G32" s="51" t="s">
        <v>288</v>
      </c>
      <c r="H32" s="51" t="s">
        <v>424</v>
      </c>
    </row>
    <row r="33" spans="1:8" ht="15.75" x14ac:dyDescent="0.25">
      <c r="A33" s="51" t="s">
        <v>393</v>
      </c>
      <c r="B33" s="51" t="s">
        <v>425</v>
      </c>
      <c r="C33" s="51" t="s">
        <v>284</v>
      </c>
      <c r="D33" s="51" t="s">
        <v>426</v>
      </c>
      <c r="E33" s="52" t="s">
        <v>427</v>
      </c>
      <c r="F33" s="51" t="s">
        <v>428</v>
      </c>
      <c r="G33" s="51" t="s">
        <v>305</v>
      </c>
      <c r="H33" s="51" t="s">
        <v>424</v>
      </c>
    </row>
    <row r="34" spans="1:8" ht="15.75" x14ac:dyDescent="0.25">
      <c r="A34" s="51" t="s">
        <v>393</v>
      </c>
      <c r="B34" s="51" t="s">
        <v>429</v>
      </c>
      <c r="C34" s="51" t="s">
        <v>284</v>
      </c>
      <c r="D34" s="51" t="s">
        <v>430</v>
      </c>
      <c r="E34" s="52" t="s">
        <v>431</v>
      </c>
      <c r="F34" s="51" t="s">
        <v>432</v>
      </c>
      <c r="G34" s="51" t="s">
        <v>305</v>
      </c>
      <c r="H34" s="51" t="s">
        <v>433</v>
      </c>
    </row>
    <row r="35" spans="1:8" ht="15.75" x14ac:dyDescent="0.25">
      <c r="A35" s="51" t="s">
        <v>393</v>
      </c>
      <c r="B35" s="51" t="s">
        <v>434</v>
      </c>
      <c r="C35" s="51" t="s">
        <v>366</v>
      </c>
      <c r="D35" s="51" t="s">
        <v>435</v>
      </c>
      <c r="E35" s="52" t="s">
        <v>436</v>
      </c>
      <c r="F35" s="51" t="s">
        <v>437</v>
      </c>
      <c r="G35" s="51" t="s">
        <v>288</v>
      </c>
      <c r="H35" s="51" t="s">
        <v>433</v>
      </c>
    </row>
    <row r="36" spans="1:8" ht="15.75" x14ac:dyDescent="0.25">
      <c r="A36" s="51" t="s">
        <v>393</v>
      </c>
      <c r="B36" s="51" t="s">
        <v>438</v>
      </c>
      <c r="C36" s="51" t="s">
        <v>366</v>
      </c>
      <c r="D36" s="51" t="s">
        <v>439</v>
      </c>
      <c r="E36" s="52" t="s">
        <v>440</v>
      </c>
      <c r="F36" s="51" t="s">
        <v>441</v>
      </c>
      <c r="G36" s="51" t="s">
        <v>288</v>
      </c>
      <c r="H36" s="51" t="s">
        <v>442</v>
      </c>
    </row>
    <row r="37" spans="1:8" ht="15.75" x14ac:dyDescent="0.25">
      <c r="A37" s="51" t="s">
        <v>393</v>
      </c>
      <c r="B37" s="51" t="s">
        <v>443</v>
      </c>
      <c r="C37" s="51" t="s">
        <v>366</v>
      </c>
      <c r="D37" s="51" t="s">
        <v>444</v>
      </c>
      <c r="E37" s="52" t="s">
        <v>445</v>
      </c>
      <c r="F37" s="51" t="s">
        <v>446</v>
      </c>
      <c r="G37" s="51" t="s">
        <v>305</v>
      </c>
      <c r="H37" s="51" t="s">
        <v>442</v>
      </c>
    </row>
    <row r="38" spans="1:8" ht="15.75" x14ac:dyDescent="0.25">
      <c r="A38" s="51" t="s">
        <v>393</v>
      </c>
      <c r="B38" s="51" t="s">
        <v>447</v>
      </c>
      <c r="C38" s="51" t="s">
        <v>366</v>
      </c>
      <c r="D38" s="51" t="s">
        <v>448</v>
      </c>
      <c r="E38" s="52" t="s">
        <v>449</v>
      </c>
      <c r="F38" s="51" t="s">
        <v>450</v>
      </c>
      <c r="G38" s="51" t="s">
        <v>305</v>
      </c>
      <c r="H38" s="51" t="s">
        <v>451</v>
      </c>
    </row>
    <row r="39" spans="1:8" ht="15.75" x14ac:dyDescent="0.25">
      <c r="A39" s="51" t="s">
        <v>393</v>
      </c>
      <c r="B39" s="51" t="s">
        <v>452</v>
      </c>
      <c r="C39" s="51" t="s">
        <v>366</v>
      </c>
      <c r="D39" s="51" t="s">
        <v>453</v>
      </c>
      <c r="E39" s="52" t="s">
        <v>454</v>
      </c>
      <c r="F39" s="51" t="s">
        <v>455</v>
      </c>
      <c r="G39" s="51" t="s">
        <v>288</v>
      </c>
      <c r="H39" s="51" t="s">
        <v>451</v>
      </c>
    </row>
    <row r="40" spans="1:8" ht="15.75" x14ac:dyDescent="0.25">
      <c r="A40" s="51" t="s">
        <v>393</v>
      </c>
      <c r="B40" s="51" t="s">
        <v>456</v>
      </c>
      <c r="C40" s="51" t="s">
        <v>366</v>
      </c>
      <c r="D40" s="51" t="s">
        <v>457</v>
      </c>
      <c r="E40" s="52" t="s">
        <v>458</v>
      </c>
      <c r="F40" s="51" t="s">
        <v>459</v>
      </c>
      <c r="G40" s="51" t="s">
        <v>288</v>
      </c>
      <c r="H40" s="51" t="s">
        <v>294</v>
      </c>
    </row>
    <row r="41" spans="1:8" ht="15.75" x14ac:dyDescent="0.25">
      <c r="A41" s="51" t="s">
        <v>393</v>
      </c>
      <c r="B41" s="51" t="s">
        <v>460</v>
      </c>
      <c r="C41" s="51" t="s">
        <v>366</v>
      </c>
      <c r="D41" s="51" t="s">
        <v>461</v>
      </c>
      <c r="E41" s="52" t="s">
        <v>462</v>
      </c>
      <c r="F41" s="51" t="s">
        <v>463</v>
      </c>
      <c r="G41" s="51" t="s">
        <v>288</v>
      </c>
      <c r="H41" s="51" t="s">
        <v>294</v>
      </c>
    </row>
    <row r="42" spans="1:8" ht="15.75" x14ac:dyDescent="0.25">
      <c r="A42" s="51" t="s">
        <v>464</v>
      </c>
      <c r="B42" s="51" t="s">
        <v>465</v>
      </c>
      <c r="C42" s="51" t="s">
        <v>366</v>
      </c>
      <c r="D42" s="51" t="s">
        <v>466</v>
      </c>
      <c r="E42" s="52" t="s">
        <v>467</v>
      </c>
      <c r="F42" s="51" t="s">
        <v>468</v>
      </c>
      <c r="G42" s="51" t="s">
        <v>288</v>
      </c>
      <c r="H42" s="51" t="s">
        <v>469</v>
      </c>
    </row>
    <row r="43" spans="1:8" ht="15.75" x14ac:dyDescent="0.25">
      <c r="A43" s="51" t="s">
        <v>464</v>
      </c>
      <c r="B43" s="51" t="s">
        <v>470</v>
      </c>
      <c r="C43" s="51" t="s">
        <v>366</v>
      </c>
      <c r="D43" s="51" t="s">
        <v>417</v>
      </c>
      <c r="E43" s="52" t="s">
        <v>471</v>
      </c>
      <c r="F43" s="51" t="s">
        <v>419</v>
      </c>
      <c r="G43" s="51" t="s">
        <v>305</v>
      </c>
      <c r="H43" s="51" t="s">
        <v>469</v>
      </c>
    </row>
    <row r="44" spans="1:8" ht="15.75" x14ac:dyDescent="0.25">
      <c r="A44" s="51" t="s">
        <v>464</v>
      </c>
      <c r="B44" s="51" t="s">
        <v>472</v>
      </c>
      <c r="C44" s="51" t="s">
        <v>366</v>
      </c>
      <c r="D44" s="51" t="s">
        <v>473</v>
      </c>
      <c r="E44" s="52" t="s">
        <v>474</v>
      </c>
      <c r="F44" s="51" t="s">
        <v>475</v>
      </c>
      <c r="G44" s="51" t="s">
        <v>305</v>
      </c>
      <c r="H44" s="51" t="s">
        <v>476</v>
      </c>
    </row>
    <row r="45" spans="1:8" ht="15.75" x14ac:dyDescent="0.25">
      <c r="A45" s="51" t="s">
        <v>464</v>
      </c>
      <c r="B45" s="51" t="s">
        <v>477</v>
      </c>
      <c r="C45" s="51" t="s">
        <v>366</v>
      </c>
      <c r="D45" s="51" t="s">
        <v>478</v>
      </c>
      <c r="E45" s="52" t="s">
        <v>479</v>
      </c>
      <c r="F45" s="51" t="s">
        <v>480</v>
      </c>
      <c r="G45" s="51" t="s">
        <v>288</v>
      </c>
      <c r="H45" s="51" t="s">
        <v>476</v>
      </c>
    </row>
    <row r="46" spans="1:8" ht="15.75" x14ac:dyDescent="0.25">
      <c r="A46" s="51" t="s">
        <v>464</v>
      </c>
      <c r="B46" s="51" t="s">
        <v>481</v>
      </c>
      <c r="C46" s="51" t="s">
        <v>366</v>
      </c>
      <c r="D46" s="51" t="s">
        <v>482</v>
      </c>
      <c r="E46" s="52" t="s">
        <v>483</v>
      </c>
      <c r="F46" s="51" t="s">
        <v>484</v>
      </c>
      <c r="G46" s="51" t="s">
        <v>288</v>
      </c>
      <c r="H46" s="51" t="s">
        <v>294</v>
      </c>
    </row>
    <row r="47" spans="1:8" ht="15.75" x14ac:dyDescent="0.25">
      <c r="A47" s="51" t="s">
        <v>464</v>
      </c>
      <c r="B47" s="51" t="s">
        <v>485</v>
      </c>
      <c r="C47" s="51" t="s">
        <v>366</v>
      </c>
      <c r="D47" s="51" t="s">
        <v>486</v>
      </c>
      <c r="E47" s="52" t="s">
        <v>487</v>
      </c>
      <c r="F47" s="51" t="s">
        <v>488</v>
      </c>
      <c r="G47" s="51" t="s">
        <v>288</v>
      </c>
      <c r="H47" s="51" t="s">
        <v>294</v>
      </c>
    </row>
    <row r="48" spans="1:8" ht="15.75" x14ac:dyDescent="0.25">
      <c r="A48" s="51" t="s">
        <v>464</v>
      </c>
      <c r="B48" s="51" t="s">
        <v>489</v>
      </c>
      <c r="C48" s="51" t="s">
        <v>366</v>
      </c>
      <c r="D48" s="51" t="s">
        <v>490</v>
      </c>
      <c r="E48" s="52" t="s">
        <v>491</v>
      </c>
      <c r="F48" s="51" t="s">
        <v>492</v>
      </c>
      <c r="G48" s="51" t="s">
        <v>288</v>
      </c>
      <c r="H48" s="51" t="s">
        <v>493</v>
      </c>
    </row>
    <row r="49" spans="1:8" ht="15.75" x14ac:dyDescent="0.25">
      <c r="A49" s="51" t="s">
        <v>464</v>
      </c>
      <c r="B49" s="51" t="s">
        <v>494</v>
      </c>
      <c r="C49" s="51" t="s">
        <v>366</v>
      </c>
      <c r="D49" s="51" t="s">
        <v>495</v>
      </c>
      <c r="E49" s="52" t="s">
        <v>496</v>
      </c>
      <c r="F49" s="51" t="s">
        <v>497</v>
      </c>
      <c r="G49" s="51" t="s">
        <v>305</v>
      </c>
      <c r="H49" s="51" t="s">
        <v>493</v>
      </c>
    </row>
    <row r="50" spans="1:8" ht="15.75" x14ac:dyDescent="0.25">
      <c r="A50" s="51" t="s">
        <v>464</v>
      </c>
      <c r="B50" s="51" t="s">
        <v>498</v>
      </c>
      <c r="C50" s="51" t="s">
        <v>366</v>
      </c>
      <c r="D50" s="51" t="s">
        <v>499</v>
      </c>
      <c r="E50" s="52" t="s">
        <v>500</v>
      </c>
      <c r="F50" s="51" t="s">
        <v>501</v>
      </c>
      <c r="G50" s="51" t="s">
        <v>305</v>
      </c>
      <c r="H50" s="51" t="s">
        <v>502</v>
      </c>
    </row>
    <row r="51" spans="1:8" ht="15.75" x14ac:dyDescent="0.25">
      <c r="A51" s="51" t="s">
        <v>464</v>
      </c>
      <c r="B51" s="51" t="s">
        <v>503</v>
      </c>
      <c r="C51" s="51" t="s">
        <v>366</v>
      </c>
      <c r="D51" s="51" t="s">
        <v>504</v>
      </c>
      <c r="E51" s="52" t="s">
        <v>505</v>
      </c>
      <c r="F51" s="51" t="s">
        <v>506</v>
      </c>
      <c r="G51" s="51" t="s">
        <v>288</v>
      </c>
      <c r="H51" s="51" t="s">
        <v>502</v>
      </c>
    </row>
    <row r="52" spans="1:8" ht="15.75" x14ac:dyDescent="0.25">
      <c r="A52" s="51" t="s">
        <v>464</v>
      </c>
      <c r="B52" s="51" t="s">
        <v>507</v>
      </c>
      <c r="C52" s="51" t="s">
        <v>508</v>
      </c>
      <c r="D52" s="51" t="s">
        <v>509</v>
      </c>
      <c r="E52" s="52" t="s">
        <v>510</v>
      </c>
      <c r="F52" s="51" t="s">
        <v>511</v>
      </c>
      <c r="G52" s="51" t="s">
        <v>288</v>
      </c>
      <c r="H52" s="51" t="s">
        <v>294</v>
      </c>
    </row>
    <row r="53" spans="1:8" ht="15.75" x14ac:dyDescent="0.25">
      <c r="A53" s="51" t="s">
        <v>464</v>
      </c>
      <c r="B53" s="51" t="s">
        <v>512</v>
      </c>
      <c r="C53" s="51" t="s">
        <v>508</v>
      </c>
      <c r="D53" s="51" t="s">
        <v>513</v>
      </c>
      <c r="E53" s="52" t="s">
        <v>514</v>
      </c>
      <c r="F53" s="51" t="s">
        <v>515</v>
      </c>
      <c r="G53" s="51" t="s">
        <v>288</v>
      </c>
      <c r="H53" s="51" t="s">
        <v>516</v>
      </c>
    </row>
    <row r="54" spans="1:8" ht="15.75" x14ac:dyDescent="0.25">
      <c r="A54" s="51" t="s">
        <v>464</v>
      </c>
      <c r="B54" s="51" t="s">
        <v>517</v>
      </c>
      <c r="C54" s="51" t="s">
        <v>366</v>
      </c>
      <c r="D54" s="51" t="s">
        <v>518</v>
      </c>
      <c r="E54" s="52" t="s">
        <v>519</v>
      </c>
      <c r="F54" s="51" t="s">
        <v>520</v>
      </c>
      <c r="G54" s="51" t="s">
        <v>305</v>
      </c>
      <c r="H54" s="51" t="s">
        <v>516</v>
      </c>
    </row>
    <row r="55" spans="1:8" ht="15.75" x14ac:dyDescent="0.25">
      <c r="A55" s="51" t="s">
        <v>521</v>
      </c>
      <c r="B55" s="51" t="s">
        <v>522</v>
      </c>
      <c r="C55" s="51" t="s">
        <v>366</v>
      </c>
      <c r="D55" s="51" t="s">
        <v>523</v>
      </c>
      <c r="E55" s="52" t="s">
        <v>524</v>
      </c>
      <c r="F55" s="51" t="s">
        <v>525</v>
      </c>
      <c r="G55" s="51" t="s">
        <v>305</v>
      </c>
      <c r="H55" s="51" t="s">
        <v>526</v>
      </c>
    </row>
    <row r="56" spans="1:8" ht="15.75" x14ac:dyDescent="0.25">
      <c r="A56" s="51" t="s">
        <v>464</v>
      </c>
      <c r="B56" s="51" t="s">
        <v>527</v>
      </c>
      <c r="C56" s="51" t="s">
        <v>508</v>
      </c>
      <c r="D56" s="51" t="s">
        <v>528</v>
      </c>
      <c r="E56" s="52" t="s">
        <v>529</v>
      </c>
      <c r="F56" s="51" t="s">
        <v>530</v>
      </c>
      <c r="G56" s="51" t="s">
        <v>288</v>
      </c>
      <c r="H56" s="51" t="s">
        <v>526</v>
      </c>
    </row>
    <row r="57" spans="1:8" ht="15.75" x14ac:dyDescent="0.25">
      <c r="A57" s="51" t="s">
        <v>464</v>
      </c>
      <c r="B57" s="51" t="s">
        <v>531</v>
      </c>
      <c r="C57" s="51" t="s">
        <v>508</v>
      </c>
      <c r="D57" s="51" t="s">
        <v>532</v>
      </c>
      <c r="E57" s="52" t="s">
        <v>533</v>
      </c>
      <c r="F57" s="51" t="s">
        <v>534</v>
      </c>
      <c r="G57" s="51" t="s">
        <v>288</v>
      </c>
      <c r="H57" s="51" t="s">
        <v>535</v>
      </c>
    </row>
    <row r="58" spans="1:8" ht="15.75" x14ac:dyDescent="0.25">
      <c r="A58" s="51" t="s">
        <v>464</v>
      </c>
      <c r="B58" s="51" t="s">
        <v>482</v>
      </c>
      <c r="C58" s="51" t="s">
        <v>508</v>
      </c>
      <c r="D58" s="51" t="s">
        <v>536</v>
      </c>
      <c r="E58" s="52" t="s">
        <v>537</v>
      </c>
      <c r="F58" s="51" t="s">
        <v>538</v>
      </c>
      <c r="G58" s="51" t="s">
        <v>288</v>
      </c>
      <c r="H58" s="51" t="s">
        <v>539</v>
      </c>
    </row>
    <row r="59" spans="1:8" ht="15.75" x14ac:dyDescent="0.25">
      <c r="A59" s="51" t="s">
        <v>521</v>
      </c>
      <c r="B59" s="51" t="s">
        <v>540</v>
      </c>
      <c r="C59" s="51" t="s">
        <v>366</v>
      </c>
      <c r="D59" s="51" t="s">
        <v>541</v>
      </c>
      <c r="E59" s="52" t="s">
        <v>542</v>
      </c>
      <c r="F59" s="51" t="s">
        <v>543</v>
      </c>
      <c r="G59" s="51" t="s">
        <v>305</v>
      </c>
      <c r="H59" s="51" t="s">
        <v>539</v>
      </c>
    </row>
    <row r="60" spans="1:8" ht="15.75" x14ac:dyDescent="0.25">
      <c r="A60" s="51" t="s">
        <v>521</v>
      </c>
      <c r="B60" s="51" t="s">
        <v>544</v>
      </c>
      <c r="C60" s="51" t="s">
        <v>366</v>
      </c>
      <c r="D60" s="51" t="s">
        <v>545</v>
      </c>
      <c r="E60" s="52" t="s">
        <v>546</v>
      </c>
      <c r="F60" s="51" t="s">
        <v>547</v>
      </c>
      <c r="G60" s="51" t="s">
        <v>305</v>
      </c>
      <c r="H60" s="51" t="s">
        <v>548</v>
      </c>
    </row>
    <row r="61" spans="1:8" ht="15.75" x14ac:dyDescent="0.25">
      <c r="A61" s="51" t="s">
        <v>464</v>
      </c>
      <c r="B61" s="51" t="s">
        <v>549</v>
      </c>
      <c r="C61" s="51" t="s">
        <v>508</v>
      </c>
      <c r="D61" s="51" t="s">
        <v>550</v>
      </c>
      <c r="E61" s="52" t="s">
        <v>551</v>
      </c>
      <c r="F61" s="51" t="s">
        <v>552</v>
      </c>
      <c r="G61" s="51" t="s">
        <v>288</v>
      </c>
      <c r="H61" s="51" t="s">
        <v>548</v>
      </c>
    </row>
    <row r="62" spans="1:8" ht="15.75" x14ac:dyDescent="0.25">
      <c r="A62" s="51" t="s">
        <v>521</v>
      </c>
      <c r="B62" s="51" t="s">
        <v>553</v>
      </c>
      <c r="C62" s="51" t="s">
        <v>508</v>
      </c>
      <c r="D62" s="51" t="s">
        <v>554</v>
      </c>
      <c r="E62" s="52" t="s">
        <v>555</v>
      </c>
      <c r="F62" s="51" t="s">
        <v>556</v>
      </c>
      <c r="G62" s="51" t="s">
        <v>288</v>
      </c>
      <c r="H62" s="51" t="s">
        <v>557</v>
      </c>
    </row>
    <row r="63" spans="1:8" ht="15.75" x14ac:dyDescent="0.25">
      <c r="A63" s="51" t="s">
        <v>521</v>
      </c>
      <c r="B63" s="51" t="s">
        <v>558</v>
      </c>
      <c r="C63" s="51" t="s">
        <v>366</v>
      </c>
      <c r="D63" s="51" t="s">
        <v>559</v>
      </c>
      <c r="E63" s="52" t="s">
        <v>560</v>
      </c>
      <c r="F63" s="51" t="s">
        <v>561</v>
      </c>
      <c r="G63" s="51" t="s">
        <v>305</v>
      </c>
      <c r="H63" s="51" t="s">
        <v>557</v>
      </c>
    </row>
    <row r="64" spans="1:8" ht="15.75" x14ac:dyDescent="0.25">
      <c r="A64" s="51" t="s">
        <v>521</v>
      </c>
      <c r="B64" s="51" t="s">
        <v>562</v>
      </c>
      <c r="C64" s="51" t="s">
        <v>366</v>
      </c>
      <c r="D64" s="51" t="s">
        <v>457</v>
      </c>
      <c r="E64" s="52" t="s">
        <v>563</v>
      </c>
      <c r="F64" s="51" t="s">
        <v>459</v>
      </c>
      <c r="G64" s="51" t="s">
        <v>305</v>
      </c>
      <c r="H64" s="51" t="s">
        <v>564</v>
      </c>
    </row>
    <row r="65" spans="1:8" ht="15.75" x14ac:dyDescent="0.25">
      <c r="A65" s="51" t="s">
        <v>521</v>
      </c>
      <c r="B65" s="51" t="s">
        <v>565</v>
      </c>
      <c r="C65" s="51" t="s">
        <v>508</v>
      </c>
      <c r="D65" s="51" t="s">
        <v>566</v>
      </c>
      <c r="E65" s="52" t="s">
        <v>567</v>
      </c>
      <c r="F65" s="51" t="s">
        <v>568</v>
      </c>
      <c r="G65" s="51" t="s">
        <v>288</v>
      </c>
      <c r="H65" s="51" t="s">
        <v>564</v>
      </c>
    </row>
    <row r="66" spans="1:8" ht="15.75" x14ac:dyDescent="0.25">
      <c r="A66" s="51" t="s">
        <v>521</v>
      </c>
      <c r="B66" s="51" t="s">
        <v>569</v>
      </c>
      <c r="C66" s="51" t="s">
        <v>508</v>
      </c>
      <c r="D66" s="51" t="s">
        <v>570</v>
      </c>
      <c r="E66" s="52" t="s">
        <v>571</v>
      </c>
      <c r="F66" s="51" t="s">
        <v>572</v>
      </c>
      <c r="G66" s="51" t="s">
        <v>288</v>
      </c>
      <c r="H66" s="51" t="s">
        <v>573</v>
      </c>
    </row>
    <row r="67" spans="1:8" ht="15.75" x14ac:dyDescent="0.25">
      <c r="A67" s="51" t="s">
        <v>521</v>
      </c>
      <c r="B67" s="51" t="s">
        <v>574</v>
      </c>
      <c r="C67" s="51" t="s">
        <v>366</v>
      </c>
      <c r="D67" s="51" t="s">
        <v>575</v>
      </c>
      <c r="E67" s="52" t="s">
        <v>576</v>
      </c>
      <c r="F67" s="51" t="s">
        <v>577</v>
      </c>
      <c r="G67" s="51" t="s">
        <v>305</v>
      </c>
      <c r="H67" s="51" t="s">
        <v>573</v>
      </c>
    </row>
    <row r="68" spans="1:8" ht="15.75" x14ac:dyDescent="0.25">
      <c r="A68" s="51" t="s">
        <v>521</v>
      </c>
      <c r="B68" s="51" t="s">
        <v>578</v>
      </c>
      <c r="C68" s="51" t="s">
        <v>366</v>
      </c>
      <c r="D68" s="51" t="s">
        <v>579</v>
      </c>
      <c r="E68" s="52" t="s">
        <v>580</v>
      </c>
      <c r="F68" s="51" t="s">
        <v>581</v>
      </c>
      <c r="G68" s="51" t="s">
        <v>305</v>
      </c>
      <c r="H68" s="51" t="s">
        <v>582</v>
      </c>
    </row>
    <row r="69" spans="1:8" ht="15.75" x14ac:dyDescent="0.25">
      <c r="A69" s="51" t="s">
        <v>521</v>
      </c>
      <c r="B69" s="51" t="s">
        <v>583</v>
      </c>
      <c r="C69" s="51" t="s">
        <v>508</v>
      </c>
      <c r="D69" s="51" t="s">
        <v>584</v>
      </c>
      <c r="E69" s="52" t="s">
        <v>585</v>
      </c>
      <c r="F69" s="51" t="s">
        <v>586</v>
      </c>
      <c r="G69" s="51" t="s">
        <v>288</v>
      </c>
      <c r="H69" s="51" t="s">
        <v>582</v>
      </c>
    </row>
    <row r="70" spans="1:8" ht="15.75" x14ac:dyDescent="0.25">
      <c r="A70" s="51" t="s">
        <v>521</v>
      </c>
      <c r="B70" s="51" t="s">
        <v>587</v>
      </c>
      <c r="C70" s="51" t="s">
        <v>508</v>
      </c>
      <c r="D70" s="51" t="s">
        <v>588</v>
      </c>
      <c r="E70" s="52" t="s">
        <v>589</v>
      </c>
      <c r="F70" s="51" t="s">
        <v>590</v>
      </c>
      <c r="G70" s="51" t="s">
        <v>288</v>
      </c>
      <c r="H70" s="51" t="s">
        <v>294</v>
      </c>
    </row>
    <row r="71" spans="1:8" ht="15.75" x14ac:dyDescent="0.25">
      <c r="A71" s="51" t="s">
        <v>521</v>
      </c>
      <c r="B71" s="51" t="s">
        <v>591</v>
      </c>
      <c r="C71" s="51" t="s">
        <v>508</v>
      </c>
      <c r="D71" s="51" t="s">
        <v>592</v>
      </c>
      <c r="E71" s="52" t="s">
        <v>593</v>
      </c>
      <c r="F71" s="51" t="s">
        <v>594</v>
      </c>
      <c r="G71" s="51" t="s">
        <v>288</v>
      </c>
      <c r="H71" s="51" t="s">
        <v>595</v>
      </c>
    </row>
    <row r="72" spans="1:8" ht="15.75" x14ac:dyDescent="0.25">
      <c r="A72" s="51" t="s">
        <v>521</v>
      </c>
      <c r="B72" s="51" t="s">
        <v>596</v>
      </c>
      <c r="C72" s="51" t="s">
        <v>366</v>
      </c>
      <c r="D72" s="51" t="s">
        <v>597</v>
      </c>
      <c r="E72" s="52" t="s">
        <v>598</v>
      </c>
      <c r="F72" s="51" t="s">
        <v>599</v>
      </c>
      <c r="G72" s="51" t="s">
        <v>305</v>
      </c>
      <c r="H72" s="51" t="s">
        <v>595</v>
      </c>
    </row>
    <row r="73" spans="1:8" ht="15.75" x14ac:dyDescent="0.25">
      <c r="A73" s="51" t="s">
        <v>600</v>
      </c>
      <c r="B73" s="51" t="s">
        <v>601</v>
      </c>
      <c r="C73" s="51" t="s">
        <v>366</v>
      </c>
      <c r="D73" s="51" t="s">
        <v>602</v>
      </c>
      <c r="E73" s="52" t="s">
        <v>603</v>
      </c>
      <c r="F73" s="51" t="s">
        <v>604</v>
      </c>
      <c r="G73" s="51" t="s">
        <v>305</v>
      </c>
      <c r="H73" s="51" t="s">
        <v>605</v>
      </c>
    </row>
    <row r="74" spans="1:8" ht="15.75" x14ac:dyDescent="0.25">
      <c r="A74" s="51" t="s">
        <v>521</v>
      </c>
      <c r="B74" s="51" t="s">
        <v>606</v>
      </c>
      <c r="C74" s="51" t="s">
        <v>366</v>
      </c>
      <c r="D74" s="51" t="s">
        <v>607</v>
      </c>
      <c r="E74" s="52" t="s">
        <v>608</v>
      </c>
      <c r="F74" s="51" t="s">
        <v>609</v>
      </c>
      <c r="G74" s="51" t="s">
        <v>288</v>
      </c>
      <c r="H74" s="51" t="s">
        <v>605</v>
      </c>
    </row>
    <row r="75" spans="1:8" ht="15.75" x14ac:dyDescent="0.25">
      <c r="A75" s="51" t="s">
        <v>600</v>
      </c>
      <c r="B75" s="51" t="s">
        <v>610</v>
      </c>
      <c r="C75" s="51" t="s">
        <v>366</v>
      </c>
      <c r="D75" s="51" t="s">
        <v>611</v>
      </c>
      <c r="E75" s="52" t="s">
        <v>612</v>
      </c>
      <c r="F75" s="51" t="s">
        <v>613</v>
      </c>
      <c r="G75" s="51" t="s">
        <v>288</v>
      </c>
      <c r="H75" s="51" t="s">
        <v>294</v>
      </c>
    </row>
    <row r="76" spans="1:8" ht="15.75" x14ac:dyDescent="0.25">
      <c r="A76" s="51" t="s">
        <v>600</v>
      </c>
      <c r="B76" s="51" t="s">
        <v>614</v>
      </c>
      <c r="C76" s="51" t="s">
        <v>366</v>
      </c>
      <c r="D76" s="51" t="s">
        <v>615</v>
      </c>
      <c r="E76" s="52" t="s">
        <v>616</v>
      </c>
      <c r="F76" s="51" t="s">
        <v>617</v>
      </c>
      <c r="G76" s="51" t="s">
        <v>288</v>
      </c>
      <c r="H76" s="51" t="s">
        <v>618</v>
      </c>
    </row>
    <row r="77" spans="1:8" ht="15.75" x14ac:dyDescent="0.25">
      <c r="A77" s="51" t="s">
        <v>600</v>
      </c>
      <c r="B77" s="51" t="s">
        <v>619</v>
      </c>
      <c r="C77" s="51" t="s">
        <v>366</v>
      </c>
      <c r="D77" s="51" t="s">
        <v>523</v>
      </c>
      <c r="E77" s="52" t="s">
        <v>620</v>
      </c>
      <c r="F77" s="51" t="s">
        <v>525</v>
      </c>
      <c r="G77" s="51" t="s">
        <v>305</v>
      </c>
      <c r="H77" s="51" t="s">
        <v>618</v>
      </c>
    </row>
    <row r="78" spans="1:8" ht="15.75" x14ac:dyDescent="0.25">
      <c r="A78" s="51" t="s">
        <v>600</v>
      </c>
      <c r="B78" s="51" t="s">
        <v>621</v>
      </c>
      <c r="C78" s="51" t="s">
        <v>366</v>
      </c>
      <c r="D78" s="51" t="s">
        <v>622</v>
      </c>
      <c r="E78" s="52" t="s">
        <v>623</v>
      </c>
      <c r="F78" s="51" t="s">
        <v>624</v>
      </c>
      <c r="G78" s="51" t="s">
        <v>305</v>
      </c>
      <c r="H78" s="51" t="s">
        <v>625</v>
      </c>
    </row>
    <row r="79" spans="1:8" ht="15.75" x14ac:dyDescent="0.25">
      <c r="A79" s="51" t="s">
        <v>600</v>
      </c>
      <c r="B79" s="51" t="s">
        <v>626</v>
      </c>
      <c r="C79" s="51" t="s">
        <v>508</v>
      </c>
      <c r="D79" s="51" t="s">
        <v>553</v>
      </c>
      <c r="E79" s="52" t="s">
        <v>627</v>
      </c>
      <c r="F79" s="51" t="s">
        <v>628</v>
      </c>
      <c r="G79" s="51" t="s">
        <v>288</v>
      </c>
      <c r="H79" s="51" t="s">
        <v>625</v>
      </c>
    </row>
    <row r="80" spans="1:8" ht="15.75" x14ac:dyDescent="0.25">
      <c r="A80" s="51" t="s">
        <v>600</v>
      </c>
      <c r="B80" s="51" t="s">
        <v>629</v>
      </c>
      <c r="C80" s="51" t="s">
        <v>508</v>
      </c>
      <c r="D80" s="51" t="s">
        <v>630</v>
      </c>
      <c r="E80" s="52" t="s">
        <v>631</v>
      </c>
      <c r="F80" s="51" t="s">
        <v>632</v>
      </c>
      <c r="G80" s="51" t="s">
        <v>288</v>
      </c>
      <c r="H80" s="51" t="s">
        <v>633</v>
      </c>
    </row>
    <row r="81" spans="1:8" ht="15.75" x14ac:dyDescent="0.25">
      <c r="A81" s="51" t="s">
        <v>600</v>
      </c>
      <c r="B81" s="51" t="s">
        <v>634</v>
      </c>
      <c r="C81" s="51" t="s">
        <v>366</v>
      </c>
      <c r="D81" s="51" t="s">
        <v>545</v>
      </c>
      <c r="E81" s="52" t="s">
        <v>635</v>
      </c>
      <c r="F81" s="51" t="s">
        <v>547</v>
      </c>
      <c r="G81" s="51" t="s">
        <v>305</v>
      </c>
      <c r="H81" s="51" t="s">
        <v>633</v>
      </c>
    </row>
    <row r="82" spans="1:8" ht="15.75" x14ac:dyDescent="0.25">
      <c r="A82" s="51" t="s">
        <v>600</v>
      </c>
      <c r="B82" s="51" t="s">
        <v>636</v>
      </c>
      <c r="C82" s="51" t="s">
        <v>366</v>
      </c>
      <c r="D82" s="51" t="s">
        <v>637</v>
      </c>
      <c r="E82" s="52" t="s">
        <v>638</v>
      </c>
      <c r="F82" s="51" t="s">
        <v>639</v>
      </c>
      <c r="G82" s="51" t="s">
        <v>305</v>
      </c>
      <c r="H82" s="51" t="s">
        <v>640</v>
      </c>
    </row>
    <row r="83" spans="1:8" ht="15.75" x14ac:dyDescent="0.25">
      <c r="A83" s="51" t="s">
        <v>600</v>
      </c>
      <c r="B83" s="51" t="s">
        <v>641</v>
      </c>
      <c r="C83" s="51" t="s">
        <v>508</v>
      </c>
      <c r="D83" s="51" t="s">
        <v>642</v>
      </c>
      <c r="E83" s="52" t="s">
        <v>643</v>
      </c>
      <c r="F83" s="51" t="s">
        <v>644</v>
      </c>
      <c r="G83" s="51" t="s">
        <v>288</v>
      </c>
      <c r="H83" s="51" t="s">
        <v>640</v>
      </c>
    </row>
    <row r="84" spans="1:8" ht="15.75" x14ac:dyDescent="0.25">
      <c r="A84" s="51" t="s">
        <v>600</v>
      </c>
      <c r="B84" s="51" t="s">
        <v>645</v>
      </c>
      <c r="C84" s="51" t="s">
        <v>508</v>
      </c>
      <c r="D84" s="51" t="s">
        <v>646</v>
      </c>
      <c r="E84" s="52" t="s">
        <v>647</v>
      </c>
      <c r="F84" s="51" t="s">
        <v>648</v>
      </c>
      <c r="G84" s="51" t="s">
        <v>288</v>
      </c>
      <c r="H84" s="51" t="s">
        <v>294</v>
      </c>
    </row>
    <row r="85" spans="1:8" ht="15.75" x14ac:dyDescent="0.25">
      <c r="A85" s="51" t="s">
        <v>600</v>
      </c>
      <c r="B85" s="51" t="s">
        <v>649</v>
      </c>
      <c r="C85" s="51" t="s">
        <v>508</v>
      </c>
      <c r="D85" s="51" t="s">
        <v>566</v>
      </c>
      <c r="E85" s="52" t="s">
        <v>650</v>
      </c>
      <c r="F85" s="51" t="s">
        <v>568</v>
      </c>
      <c r="G85" s="51" t="s">
        <v>288</v>
      </c>
      <c r="H85" s="51" t="s">
        <v>294</v>
      </c>
    </row>
    <row r="86" spans="1:8" ht="15.75" x14ac:dyDescent="0.25">
      <c r="A86" s="51" t="s">
        <v>600</v>
      </c>
      <c r="B86" s="51" t="s">
        <v>651</v>
      </c>
      <c r="C86" s="51" t="s">
        <v>508</v>
      </c>
      <c r="D86" s="51" t="s">
        <v>652</v>
      </c>
      <c r="E86" s="52" t="s">
        <v>653</v>
      </c>
      <c r="F86" s="51" t="s">
        <v>654</v>
      </c>
      <c r="G86" s="51" t="s">
        <v>288</v>
      </c>
      <c r="H86" s="51" t="s">
        <v>655</v>
      </c>
    </row>
    <row r="87" spans="1:8" ht="15.75" x14ac:dyDescent="0.25">
      <c r="A87" s="51" t="s">
        <v>600</v>
      </c>
      <c r="B87" s="51" t="s">
        <v>656</v>
      </c>
      <c r="C87" s="51" t="s">
        <v>366</v>
      </c>
      <c r="D87" s="51" t="s">
        <v>657</v>
      </c>
      <c r="E87" s="52" t="s">
        <v>658</v>
      </c>
      <c r="F87" s="51" t="s">
        <v>659</v>
      </c>
      <c r="G87" s="51" t="s">
        <v>305</v>
      </c>
      <c r="H87" s="51" t="s">
        <v>655</v>
      </c>
    </row>
    <row r="88" spans="1:8" ht="15.75" x14ac:dyDescent="0.25">
      <c r="A88" s="51" t="s">
        <v>600</v>
      </c>
      <c r="B88" s="51" t="s">
        <v>660</v>
      </c>
      <c r="C88" s="51" t="s">
        <v>366</v>
      </c>
      <c r="D88" s="51" t="s">
        <v>661</v>
      </c>
      <c r="E88" s="52" t="s">
        <v>662</v>
      </c>
      <c r="F88" s="51" t="s">
        <v>663</v>
      </c>
      <c r="G88" s="51" t="s">
        <v>305</v>
      </c>
      <c r="H88" s="51" t="s">
        <v>664</v>
      </c>
    </row>
    <row r="89" spans="1:8" ht="15.75" x14ac:dyDescent="0.25">
      <c r="A89" s="51" t="s">
        <v>600</v>
      </c>
      <c r="B89" s="51" t="s">
        <v>665</v>
      </c>
      <c r="C89" s="51" t="s">
        <v>508</v>
      </c>
      <c r="D89" s="51" t="s">
        <v>666</v>
      </c>
      <c r="E89" s="52" t="s">
        <v>667</v>
      </c>
      <c r="F89" s="51" t="s">
        <v>668</v>
      </c>
      <c r="G89" s="51" t="s">
        <v>288</v>
      </c>
      <c r="H89" s="51" t="s">
        <v>664</v>
      </c>
    </row>
    <row r="90" spans="1:8" ht="15.75" x14ac:dyDescent="0.25">
      <c r="A90" s="51" t="s">
        <v>600</v>
      </c>
      <c r="B90" s="51" t="s">
        <v>669</v>
      </c>
      <c r="C90" s="51" t="s">
        <v>508</v>
      </c>
      <c r="D90" s="51" t="s">
        <v>670</v>
      </c>
      <c r="E90" s="52" t="s">
        <v>671</v>
      </c>
      <c r="F90" s="51" t="s">
        <v>672</v>
      </c>
      <c r="G90" s="51" t="s">
        <v>288</v>
      </c>
      <c r="H90" s="51" t="s">
        <v>294</v>
      </c>
    </row>
    <row r="91" spans="1:8" ht="15.75" x14ac:dyDescent="0.25">
      <c r="A91" s="51" t="s">
        <v>600</v>
      </c>
      <c r="B91" s="51" t="s">
        <v>673</v>
      </c>
      <c r="C91" s="51" t="s">
        <v>508</v>
      </c>
      <c r="D91" s="51" t="s">
        <v>674</v>
      </c>
      <c r="E91" s="52" t="s">
        <v>675</v>
      </c>
      <c r="F91" s="51" t="s">
        <v>676</v>
      </c>
      <c r="G91" s="51" t="s">
        <v>288</v>
      </c>
      <c r="H91" s="51" t="s">
        <v>677</v>
      </c>
    </row>
    <row r="92" spans="1:8" ht="15.75" x14ac:dyDescent="0.25">
      <c r="A92" s="51" t="s">
        <v>678</v>
      </c>
      <c r="B92" s="51" t="s">
        <v>679</v>
      </c>
      <c r="C92" s="51" t="s">
        <v>366</v>
      </c>
      <c r="D92" s="51" t="s">
        <v>680</v>
      </c>
      <c r="E92" s="52" t="s">
        <v>681</v>
      </c>
      <c r="F92" s="51" t="s">
        <v>682</v>
      </c>
      <c r="G92" s="51" t="s">
        <v>305</v>
      </c>
      <c r="H92" s="51" t="s">
        <v>677</v>
      </c>
    </row>
    <row r="93" spans="1:8" ht="15.75" x14ac:dyDescent="0.25">
      <c r="A93" s="51" t="s">
        <v>678</v>
      </c>
      <c r="B93" s="51" t="s">
        <v>683</v>
      </c>
      <c r="C93" s="51" t="s">
        <v>366</v>
      </c>
      <c r="D93" s="51" t="s">
        <v>684</v>
      </c>
      <c r="E93" s="52" t="s">
        <v>685</v>
      </c>
      <c r="F93" s="51" t="s">
        <v>686</v>
      </c>
      <c r="G93" s="51" t="s">
        <v>305</v>
      </c>
      <c r="H93" s="51" t="s">
        <v>687</v>
      </c>
    </row>
    <row r="94" spans="1:8" ht="15.75" x14ac:dyDescent="0.25">
      <c r="A94" s="51" t="s">
        <v>678</v>
      </c>
      <c r="B94" s="51" t="s">
        <v>688</v>
      </c>
      <c r="C94" s="51" t="s">
        <v>508</v>
      </c>
      <c r="D94" s="51" t="s">
        <v>570</v>
      </c>
      <c r="E94" s="52" t="s">
        <v>689</v>
      </c>
      <c r="F94" s="51" t="s">
        <v>572</v>
      </c>
      <c r="G94" s="51" t="s">
        <v>288</v>
      </c>
      <c r="H94" s="51" t="s">
        <v>687</v>
      </c>
    </row>
    <row r="95" spans="1:8" ht="15.75" x14ac:dyDescent="0.25">
      <c r="A95" s="51" t="s">
        <v>678</v>
      </c>
      <c r="B95" s="51" t="s">
        <v>690</v>
      </c>
      <c r="C95" s="51" t="s">
        <v>508</v>
      </c>
      <c r="D95" s="51" t="s">
        <v>691</v>
      </c>
      <c r="E95" s="52" t="s">
        <v>692</v>
      </c>
      <c r="F95" s="51" t="s">
        <v>693</v>
      </c>
      <c r="G95" s="51" t="s">
        <v>288</v>
      </c>
      <c r="H95" s="51" t="s">
        <v>694</v>
      </c>
    </row>
    <row r="96" spans="1:8" ht="15.75" x14ac:dyDescent="0.25">
      <c r="A96" s="51" t="s">
        <v>678</v>
      </c>
      <c r="B96" s="51" t="s">
        <v>695</v>
      </c>
      <c r="C96" s="51" t="s">
        <v>508</v>
      </c>
      <c r="D96" s="51" t="s">
        <v>696</v>
      </c>
      <c r="E96" s="52" t="s">
        <v>697</v>
      </c>
      <c r="F96" s="51" t="s">
        <v>698</v>
      </c>
      <c r="G96" s="51" t="s">
        <v>305</v>
      </c>
      <c r="H96" s="51" t="s">
        <v>694</v>
      </c>
    </row>
    <row r="97" spans="1:8" ht="15.75" x14ac:dyDescent="0.25">
      <c r="A97" s="51" t="s">
        <v>678</v>
      </c>
      <c r="B97" s="51" t="s">
        <v>699</v>
      </c>
      <c r="C97" s="51" t="s">
        <v>508</v>
      </c>
      <c r="D97" s="51" t="s">
        <v>700</v>
      </c>
      <c r="E97" s="52" t="s">
        <v>701</v>
      </c>
      <c r="F97" s="51" t="s">
        <v>702</v>
      </c>
      <c r="G97" s="51" t="s">
        <v>305</v>
      </c>
      <c r="H97" s="51" t="s">
        <v>703</v>
      </c>
    </row>
    <row r="98" spans="1:8" ht="15.75" x14ac:dyDescent="0.25">
      <c r="A98" s="51" t="s">
        <v>678</v>
      </c>
      <c r="B98" s="51" t="s">
        <v>704</v>
      </c>
      <c r="C98" s="51" t="s">
        <v>508</v>
      </c>
      <c r="D98" s="51" t="s">
        <v>705</v>
      </c>
      <c r="E98" s="52" t="s">
        <v>706</v>
      </c>
      <c r="F98" s="51" t="s">
        <v>707</v>
      </c>
      <c r="G98" s="51" t="s">
        <v>288</v>
      </c>
      <c r="H98" s="51" t="s">
        <v>703</v>
      </c>
    </row>
    <row r="99" spans="1:8" ht="15.75" x14ac:dyDescent="0.25">
      <c r="A99" s="51" t="s">
        <v>678</v>
      </c>
      <c r="B99" s="51" t="s">
        <v>708</v>
      </c>
      <c r="C99" s="51" t="s">
        <v>508</v>
      </c>
      <c r="D99" s="51" t="s">
        <v>709</v>
      </c>
      <c r="E99" s="52" t="s">
        <v>710</v>
      </c>
      <c r="F99" s="51" t="s">
        <v>711</v>
      </c>
      <c r="G99" s="51" t="s">
        <v>288</v>
      </c>
      <c r="H99" s="51" t="s">
        <v>294</v>
      </c>
    </row>
    <row r="100" spans="1:8" ht="15.75" x14ac:dyDescent="0.25">
      <c r="A100" s="51" t="s">
        <v>678</v>
      </c>
      <c r="B100" s="51" t="s">
        <v>712</v>
      </c>
      <c r="C100" s="51" t="s">
        <v>508</v>
      </c>
      <c r="D100" s="51" t="s">
        <v>713</v>
      </c>
      <c r="E100" s="52" t="s">
        <v>714</v>
      </c>
      <c r="F100" s="51" t="s">
        <v>715</v>
      </c>
      <c r="G100" s="51" t="s">
        <v>288</v>
      </c>
      <c r="H100" s="51" t="s">
        <v>716</v>
      </c>
    </row>
    <row r="101" spans="1:8" ht="15.75" x14ac:dyDescent="0.25">
      <c r="A101" s="51" t="s">
        <v>678</v>
      </c>
      <c r="B101" s="51" t="s">
        <v>717</v>
      </c>
      <c r="C101" s="51" t="s">
        <v>508</v>
      </c>
      <c r="D101" s="51" t="s">
        <v>718</v>
      </c>
      <c r="E101" s="52" t="s">
        <v>719</v>
      </c>
      <c r="F101" s="51" t="s">
        <v>720</v>
      </c>
      <c r="G101" s="51" t="s">
        <v>288</v>
      </c>
      <c r="H101" s="51" t="s">
        <v>294</v>
      </c>
    </row>
    <row r="102" spans="1:8" ht="15.75" x14ac:dyDescent="0.25">
      <c r="A102" s="51" t="s">
        <v>678</v>
      </c>
      <c r="B102" s="51" t="s">
        <v>721</v>
      </c>
      <c r="C102" s="51" t="s">
        <v>508</v>
      </c>
      <c r="D102" s="51" t="s">
        <v>722</v>
      </c>
      <c r="E102" s="52" t="s">
        <v>723</v>
      </c>
      <c r="F102" s="51" t="s">
        <v>724</v>
      </c>
      <c r="G102" s="51" t="s">
        <v>288</v>
      </c>
      <c r="H102" s="51" t="s">
        <v>294</v>
      </c>
    </row>
    <row r="103" spans="1:8" ht="15.75" x14ac:dyDescent="0.25">
      <c r="A103" s="51" t="s">
        <v>678</v>
      </c>
      <c r="B103" s="51" t="s">
        <v>725</v>
      </c>
      <c r="C103" s="51" t="s">
        <v>508</v>
      </c>
      <c r="D103" s="51" t="s">
        <v>726</v>
      </c>
      <c r="E103" s="52" t="s">
        <v>727</v>
      </c>
      <c r="F103" s="51" t="s">
        <v>728</v>
      </c>
      <c r="G103" s="51" t="s">
        <v>288</v>
      </c>
      <c r="H103" s="51" t="s">
        <v>294</v>
      </c>
    </row>
    <row r="104" spans="1:8" ht="15.75" x14ac:dyDescent="0.25">
      <c r="A104" s="51" t="s">
        <v>678</v>
      </c>
      <c r="B104" s="51" t="s">
        <v>725</v>
      </c>
      <c r="C104" s="51" t="s">
        <v>508</v>
      </c>
      <c r="D104" s="51" t="s">
        <v>729</v>
      </c>
      <c r="E104" s="52" t="s">
        <v>727</v>
      </c>
      <c r="F104" s="51" t="s">
        <v>730</v>
      </c>
      <c r="G104" s="51" t="s">
        <v>288</v>
      </c>
      <c r="H104" s="51" t="s">
        <v>731</v>
      </c>
    </row>
    <row r="105" spans="1:8" ht="15.75" x14ac:dyDescent="0.25">
      <c r="A105" s="51" t="s">
        <v>678</v>
      </c>
      <c r="B105" s="51" t="s">
        <v>732</v>
      </c>
      <c r="C105" s="51" t="s">
        <v>508</v>
      </c>
      <c r="D105" s="51" t="s">
        <v>733</v>
      </c>
      <c r="E105" s="52" t="s">
        <v>734</v>
      </c>
      <c r="F105" s="51" t="s">
        <v>735</v>
      </c>
      <c r="G105" s="51" t="s">
        <v>305</v>
      </c>
      <c r="H105" s="51" t="s">
        <v>731</v>
      </c>
    </row>
    <row r="106" spans="1:8" ht="15.75" x14ac:dyDescent="0.25">
      <c r="A106" s="51" t="s">
        <v>678</v>
      </c>
      <c r="B106" s="51" t="s">
        <v>736</v>
      </c>
      <c r="C106" s="51" t="s">
        <v>508</v>
      </c>
      <c r="D106" s="51" t="s">
        <v>737</v>
      </c>
      <c r="E106" s="52" t="s">
        <v>738</v>
      </c>
      <c r="F106" s="51" t="s">
        <v>739</v>
      </c>
      <c r="G106" s="51" t="s">
        <v>305</v>
      </c>
      <c r="H106" s="51" t="s">
        <v>740</v>
      </c>
    </row>
    <row r="107" spans="1:8" ht="15.75" x14ac:dyDescent="0.25">
      <c r="A107" s="51" t="s">
        <v>678</v>
      </c>
      <c r="B107" s="51" t="s">
        <v>741</v>
      </c>
      <c r="C107" s="51" t="s">
        <v>508</v>
      </c>
      <c r="D107" s="51" t="s">
        <v>742</v>
      </c>
      <c r="E107" s="52" t="s">
        <v>743</v>
      </c>
      <c r="F107" s="51" t="s">
        <v>744</v>
      </c>
      <c r="G107" s="51" t="s">
        <v>288</v>
      </c>
      <c r="H107" s="51" t="s">
        <v>740</v>
      </c>
    </row>
    <row r="108" spans="1:8" ht="15.75" x14ac:dyDescent="0.25">
      <c r="A108" s="51" t="s">
        <v>678</v>
      </c>
      <c r="B108" s="51" t="s">
        <v>745</v>
      </c>
      <c r="C108" s="51" t="s">
        <v>508</v>
      </c>
      <c r="D108" s="51" t="s">
        <v>746</v>
      </c>
      <c r="E108" s="52" t="s">
        <v>747</v>
      </c>
      <c r="F108" s="51" t="s">
        <v>748</v>
      </c>
      <c r="G108" s="51" t="s">
        <v>288</v>
      </c>
      <c r="H108" s="51" t="s">
        <v>294</v>
      </c>
    </row>
    <row r="109" spans="1:8" ht="15.75" x14ac:dyDescent="0.25">
      <c r="A109" s="51" t="s">
        <v>678</v>
      </c>
      <c r="B109" s="51" t="s">
        <v>749</v>
      </c>
      <c r="C109" s="51" t="s">
        <v>508</v>
      </c>
      <c r="D109" s="51" t="s">
        <v>750</v>
      </c>
      <c r="E109" s="52" t="s">
        <v>751</v>
      </c>
      <c r="F109" s="51" t="s">
        <v>752</v>
      </c>
      <c r="G109" s="51" t="s">
        <v>288</v>
      </c>
      <c r="H109" s="51" t="s">
        <v>294</v>
      </c>
    </row>
    <row r="110" spans="1:8" ht="15.75" x14ac:dyDescent="0.25">
      <c r="A110" s="51" t="s">
        <v>678</v>
      </c>
      <c r="B110" s="51" t="s">
        <v>753</v>
      </c>
      <c r="C110" s="51" t="s">
        <v>508</v>
      </c>
      <c r="D110" s="51" t="s">
        <v>746</v>
      </c>
      <c r="E110" s="52" t="s">
        <v>754</v>
      </c>
      <c r="F110" s="51" t="s">
        <v>748</v>
      </c>
      <c r="G110" s="51" t="s">
        <v>288</v>
      </c>
      <c r="H110" s="51" t="s">
        <v>294</v>
      </c>
    </row>
    <row r="111" spans="1:8" ht="15.75" x14ac:dyDescent="0.25">
      <c r="A111" s="51" t="s">
        <v>678</v>
      </c>
      <c r="B111" s="51" t="s">
        <v>755</v>
      </c>
      <c r="C111" s="51" t="s">
        <v>508</v>
      </c>
      <c r="D111" s="51" t="s">
        <v>756</v>
      </c>
      <c r="E111" s="52" t="s">
        <v>757</v>
      </c>
      <c r="F111" s="51" t="s">
        <v>758</v>
      </c>
      <c r="G111" s="51" t="s">
        <v>288</v>
      </c>
      <c r="H111" s="51" t="s">
        <v>759</v>
      </c>
    </row>
    <row r="112" spans="1:8" ht="15.75" x14ac:dyDescent="0.25">
      <c r="A112" s="51" t="s">
        <v>678</v>
      </c>
      <c r="B112" s="51" t="s">
        <v>760</v>
      </c>
      <c r="C112" s="51" t="s">
        <v>508</v>
      </c>
      <c r="D112" s="51" t="s">
        <v>761</v>
      </c>
      <c r="E112" s="52" t="s">
        <v>762</v>
      </c>
      <c r="F112" s="51" t="s">
        <v>763</v>
      </c>
      <c r="G112" s="51" t="s">
        <v>305</v>
      </c>
      <c r="H112" s="51" t="s">
        <v>759</v>
      </c>
    </row>
    <row r="113" spans="1:8" ht="15.75" x14ac:dyDescent="0.25">
      <c r="A113" s="51" t="s">
        <v>678</v>
      </c>
      <c r="B113" s="51" t="s">
        <v>764</v>
      </c>
      <c r="C113" s="51" t="s">
        <v>508</v>
      </c>
      <c r="D113" s="51" t="s">
        <v>765</v>
      </c>
      <c r="E113" s="52" t="s">
        <v>766</v>
      </c>
      <c r="F113" s="51" t="s">
        <v>767</v>
      </c>
      <c r="G113" s="51" t="s">
        <v>305</v>
      </c>
      <c r="H113" s="51" t="s">
        <v>768</v>
      </c>
    </row>
    <row r="114" spans="1:8" ht="15.75" x14ac:dyDescent="0.25">
      <c r="A114" s="51" t="s">
        <v>678</v>
      </c>
      <c r="B114" s="51" t="s">
        <v>769</v>
      </c>
      <c r="C114" s="51" t="s">
        <v>508</v>
      </c>
      <c r="D114" s="51" t="s">
        <v>770</v>
      </c>
      <c r="E114" s="52" t="s">
        <v>771</v>
      </c>
      <c r="F114" s="51" t="s">
        <v>772</v>
      </c>
      <c r="G114" s="51" t="s">
        <v>288</v>
      </c>
      <c r="H114" s="51" t="s">
        <v>768</v>
      </c>
    </row>
    <row r="115" spans="1:8" ht="15.75" x14ac:dyDescent="0.25">
      <c r="A115" s="51" t="s">
        <v>678</v>
      </c>
      <c r="B115" s="51" t="s">
        <v>712</v>
      </c>
      <c r="C115" s="51" t="s">
        <v>508</v>
      </c>
      <c r="D115" s="51" t="s">
        <v>773</v>
      </c>
      <c r="E115" s="52" t="s">
        <v>714</v>
      </c>
      <c r="F115" s="51" t="s">
        <v>774</v>
      </c>
      <c r="G115" s="51" t="s">
        <v>288</v>
      </c>
      <c r="H115" s="51" t="s">
        <v>294</v>
      </c>
    </row>
    <row r="116" spans="1:8" ht="15.75" x14ac:dyDescent="0.25">
      <c r="A116" s="51" t="s">
        <v>678</v>
      </c>
      <c r="B116" s="51" t="s">
        <v>775</v>
      </c>
      <c r="C116" s="51" t="s">
        <v>776</v>
      </c>
      <c r="D116" s="51" t="s">
        <v>777</v>
      </c>
      <c r="E116" s="52" t="s">
        <v>778</v>
      </c>
      <c r="F116" s="51" t="s">
        <v>779</v>
      </c>
      <c r="G116" s="51" t="s">
        <v>288</v>
      </c>
      <c r="H116" s="51" t="s">
        <v>294</v>
      </c>
    </row>
    <row r="117" spans="1:8" ht="15.75" x14ac:dyDescent="0.25">
      <c r="A117" s="51" t="s">
        <v>678</v>
      </c>
      <c r="B117" s="51" t="s">
        <v>775</v>
      </c>
      <c r="C117" s="51" t="s">
        <v>776</v>
      </c>
      <c r="D117" s="51" t="s">
        <v>780</v>
      </c>
      <c r="E117" s="52" t="s">
        <v>778</v>
      </c>
      <c r="F117" s="51" t="s">
        <v>781</v>
      </c>
      <c r="G117" s="51" t="s">
        <v>288</v>
      </c>
      <c r="H117" s="51" t="s">
        <v>294</v>
      </c>
    </row>
    <row r="118" spans="1:8" ht="15.75" x14ac:dyDescent="0.25">
      <c r="A118" s="51" t="s">
        <v>678</v>
      </c>
      <c r="B118" s="51" t="s">
        <v>782</v>
      </c>
      <c r="C118" s="51" t="s">
        <v>776</v>
      </c>
      <c r="D118" s="51" t="s">
        <v>783</v>
      </c>
      <c r="E118" s="52" t="s">
        <v>784</v>
      </c>
      <c r="F118" s="51" t="s">
        <v>785</v>
      </c>
      <c r="G118" s="51" t="s">
        <v>288</v>
      </c>
      <c r="H118" s="51" t="s">
        <v>294</v>
      </c>
    </row>
    <row r="119" spans="1:8" ht="15.75" x14ac:dyDescent="0.25">
      <c r="A119" s="51" t="s">
        <v>678</v>
      </c>
      <c r="B119" s="51" t="s">
        <v>786</v>
      </c>
      <c r="C119" s="51" t="s">
        <v>776</v>
      </c>
      <c r="D119" s="51" t="s">
        <v>787</v>
      </c>
      <c r="E119" s="52" t="s">
        <v>788</v>
      </c>
      <c r="F119" s="51" t="s">
        <v>789</v>
      </c>
      <c r="G119" s="51" t="s">
        <v>288</v>
      </c>
      <c r="H119" s="51" t="s">
        <v>294</v>
      </c>
    </row>
    <row r="120" spans="1:8" ht="15.75" x14ac:dyDescent="0.25">
      <c r="A120" s="51" t="s">
        <v>678</v>
      </c>
      <c r="B120" s="51" t="s">
        <v>786</v>
      </c>
      <c r="C120" s="51" t="s">
        <v>776</v>
      </c>
      <c r="D120" s="51" t="s">
        <v>790</v>
      </c>
      <c r="E120" s="52" t="s">
        <v>788</v>
      </c>
      <c r="F120" s="51" t="s">
        <v>791</v>
      </c>
      <c r="G120" s="51" t="s">
        <v>288</v>
      </c>
      <c r="H120" s="51" t="s">
        <v>792</v>
      </c>
    </row>
    <row r="121" spans="1:8" ht="15.75" x14ac:dyDescent="0.25">
      <c r="A121" s="51" t="s">
        <v>678</v>
      </c>
      <c r="B121" s="51" t="s">
        <v>793</v>
      </c>
      <c r="C121" s="51" t="s">
        <v>776</v>
      </c>
      <c r="D121" s="51" t="s">
        <v>794</v>
      </c>
      <c r="E121" s="52" t="s">
        <v>795</v>
      </c>
      <c r="F121" s="51" t="s">
        <v>796</v>
      </c>
      <c r="G121" s="51" t="s">
        <v>305</v>
      </c>
      <c r="H121" s="51" t="s">
        <v>792</v>
      </c>
    </row>
    <row r="122" spans="1:8" ht="15.75" x14ac:dyDescent="0.25">
      <c r="A122" s="51" t="s">
        <v>678</v>
      </c>
      <c r="B122" s="51" t="s">
        <v>797</v>
      </c>
      <c r="C122" s="51" t="s">
        <v>776</v>
      </c>
      <c r="D122" s="51" t="s">
        <v>798</v>
      </c>
      <c r="E122" s="52" t="s">
        <v>799</v>
      </c>
      <c r="F122" s="51" t="s">
        <v>800</v>
      </c>
      <c r="G122" s="51" t="s">
        <v>305</v>
      </c>
      <c r="H122" s="51" t="s">
        <v>801</v>
      </c>
    </row>
    <row r="123" spans="1:8" ht="15.75" x14ac:dyDescent="0.25">
      <c r="A123" s="51" t="s">
        <v>678</v>
      </c>
      <c r="B123" s="51" t="s">
        <v>786</v>
      </c>
      <c r="C123" s="51" t="s">
        <v>776</v>
      </c>
      <c r="D123" s="51" t="s">
        <v>802</v>
      </c>
      <c r="E123" s="52" t="s">
        <v>788</v>
      </c>
      <c r="F123" s="51" t="s">
        <v>803</v>
      </c>
      <c r="G123" s="51" t="s">
        <v>288</v>
      </c>
      <c r="H123" s="51" t="s">
        <v>801</v>
      </c>
    </row>
    <row r="124" spans="1:8" ht="15.75" x14ac:dyDescent="0.25">
      <c r="A124" s="51" t="s">
        <v>678</v>
      </c>
      <c r="B124" s="51" t="s">
        <v>804</v>
      </c>
      <c r="C124" s="51" t="s">
        <v>776</v>
      </c>
      <c r="D124" s="51" t="s">
        <v>805</v>
      </c>
      <c r="E124" s="52" t="s">
        <v>806</v>
      </c>
      <c r="F124" s="51" t="s">
        <v>807</v>
      </c>
      <c r="G124" s="51" t="s">
        <v>288</v>
      </c>
      <c r="H124" s="51" t="s">
        <v>294</v>
      </c>
    </row>
    <row r="125" spans="1:8" ht="15.75" x14ac:dyDescent="0.25">
      <c r="A125" s="51" t="s">
        <v>678</v>
      </c>
      <c r="B125" s="51" t="s">
        <v>808</v>
      </c>
      <c r="C125" s="51" t="s">
        <v>776</v>
      </c>
      <c r="D125" s="51" t="s">
        <v>809</v>
      </c>
      <c r="E125" s="52" t="s">
        <v>810</v>
      </c>
      <c r="F125" s="51" t="s">
        <v>811</v>
      </c>
      <c r="G125" s="51" t="s">
        <v>288</v>
      </c>
      <c r="H125" s="51" t="s">
        <v>294</v>
      </c>
    </row>
    <row r="126" spans="1:8" ht="15.75" x14ac:dyDescent="0.25">
      <c r="A126" s="51" t="s">
        <v>678</v>
      </c>
      <c r="B126" s="51" t="s">
        <v>812</v>
      </c>
      <c r="C126" s="51" t="s">
        <v>776</v>
      </c>
      <c r="D126" s="51" t="s">
        <v>813</v>
      </c>
      <c r="E126" s="52" t="s">
        <v>814</v>
      </c>
      <c r="F126" s="51" t="s">
        <v>815</v>
      </c>
      <c r="G126" s="51" t="s">
        <v>288</v>
      </c>
      <c r="H126" s="51" t="s">
        <v>294</v>
      </c>
    </row>
    <row r="127" spans="1:8" ht="15.75" x14ac:dyDescent="0.25">
      <c r="A127" s="51" t="s">
        <v>678</v>
      </c>
      <c r="B127" s="51" t="s">
        <v>816</v>
      </c>
      <c r="C127" s="51" t="s">
        <v>776</v>
      </c>
      <c r="D127" s="51" t="s">
        <v>817</v>
      </c>
      <c r="E127" s="52" t="s">
        <v>818</v>
      </c>
      <c r="F127" s="51" t="s">
        <v>819</v>
      </c>
      <c r="G127" s="51" t="s">
        <v>288</v>
      </c>
      <c r="H127" s="51" t="s">
        <v>294</v>
      </c>
    </row>
    <row r="128" spans="1:8" ht="15.75" x14ac:dyDescent="0.25">
      <c r="A128" s="51" t="s">
        <v>678</v>
      </c>
      <c r="B128" s="51" t="s">
        <v>820</v>
      </c>
      <c r="C128" s="51" t="s">
        <v>776</v>
      </c>
      <c r="D128" s="51" t="s">
        <v>821</v>
      </c>
      <c r="E128" s="52" t="s">
        <v>822</v>
      </c>
      <c r="F128" s="51" t="s">
        <v>823</v>
      </c>
      <c r="G128" s="51" t="s">
        <v>288</v>
      </c>
      <c r="H128" s="51" t="s">
        <v>294</v>
      </c>
    </row>
    <row r="129" spans="1:8" ht="15.75" x14ac:dyDescent="0.25">
      <c r="A129" s="51" t="s">
        <v>678</v>
      </c>
      <c r="B129" s="51" t="s">
        <v>824</v>
      </c>
      <c r="C129" s="51" t="s">
        <v>776</v>
      </c>
      <c r="D129" s="51" t="s">
        <v>825</v>
      </c>
      <c r="E129" s="52" t="s">
        <v>826</v>
      </c>
      <c r="F129" s="51" t="s">
        <v>827</v>
      </c>
      <c r="G129" s="51" t="s">
        <v>288</v>
      </c>
      <c r="H129" s="51" t="s">
        <v>294</v>
      </c>
    </row>
    <row r="130" spans="1:8" ht="15.75" x14ac:dyDescent="0.25">
      <c r="A130" s="51" t="s">
        <v>678</v>
      </c>
      <c r="B130" s="51" t="s">
        <v>828</v>
      </c>
      <c r="C130" s="51" t="s">
        <v>776</v>
      </c>
      <c r="D130" s="51" t="s">
        <v>829</v>
      </c>
      <c r="E130" s="52" t="s">
        <v>830</v>
      </c>
      <c r="F130" s="51" t="s">
        <v>831</v>
      </c>
      <c r="G130" s="51" t="s">
        <v>288</v>
      </c>
      <c r="H130" s="51" t="s">
        <v>832</v>
      </c>
    </row>
    <row r="131" spans="1:8" ht="15.75" x14ac:dyDescent="0.25">
      <c r="A131" s="51" t="s">
        <v>678</v>
      </c>
      <c r="B131" s="51" t="s">
        <v>833</v>
      </c>
      <c r="C131" s="51" t="s">
        <v>776</v>
      </c>
      <c r="D131" s="51" t="s">
        <v>834</v>
      </c>
      <c r="E131" s="52" t="s">
        <v>835</v>
      </c>
      <c r="F131" s="51" t="s">
        <v>836</v>
      </c>
      <c r="G131" s="51" t="s">
        <v>305</v>
      </c>
      <c r="H131" s="51" t="s">
        <v>832</v>
      </c>
    </row>
    <row r="132" spans="1:8" ht="15.75" x14ac:dyDescent="0.25">
      <c r="A132" s="51" t="s">
        <v>837</v>
      </c>
      <c r="B132" s="51" t="s">
        <v>838</v>
      </c>
      <c r="C132" s="51" t="s">
        <v>776</v>
      </c>
      <c r="D132" s="51" t="s">
        <v>839</v>
      </c>
      <c r="E132" s="52" t="s">
        <v>840</v>
      </c>
      <c r="F132" s="51" t="s">
        <v>841</v>
      </c>
      <c r="G132" s="51" t="s">
        <v>305</v>
      </c>
      <c r="H132" s="51" t="s">
        <v>842</v>
      </c>
    </row>
    <row r="133" spans="1:8" ht="15.75" x14ac:dyDescent="0.25">
      <c r="A133" s="51" t="s">
        <v>678</v>
      </c>
      <c r="B133" s="51" t="s">
        <v>843</v>
      </c>
      <c r="C133" s="51" t="s">
        <v>776</v>
      </c>
      <c r="D133" s="51" t="s">
        <v>844</v>
      </c>
      <c r="E133" s="52" t="s">
        <v>845</v>
      </c>
      <c r="F133" s="51" t="s">
        <v>846</v>
      </c>
      <c r="G133" s="51" t="s">
        <v>288</v>
      </c>
      <c r="H133" s="51" t="s">
        <v>842</v>
      </c>
    </row>
    <row r="134" spans="1:8" ht="15.75" x14ac:dyDescent="0.25">
      <c r="A134" s="51" t="s">
        <v>678</v>
      </c>
      <c r="B134" s="51" t="s">
        <v>847</v>
      </c>
      <c r="C134" s="51" t="s">
        <v>776</v>
      </c>
      <c r="D134" s="51" t="s">
        <v>848</v>
      </c>
      <c r="E134" s="52" t="s">
        <v>849</v>
      </c>
      <c r="F134" s="51" t="s">
        <v>850</v>
      </c>
      <c r="G134" s="51" t="s">
        <v>288</v>
      </c>
      <c r="H134" s="51" t="s">
        <v>294</v>
      </c>
    </row>
    <row r="135" spans="1:8" ht="15.75" x14ac:dyDescent="0.25">
      <c r="A135" s="51" t="s">
        <v>678</v>
      </c>
      <c r="B135" s="51" t="s">
        <v>851</v>
      </c>
      <c r="C135" s="51" t="s">
        <v>776</v>
      </c>
      <c r="D135" s="51" t="s">
        <v>852</v>
      </c>
      <c r="E135" s="52" t="s">
        <v>853</v>
      </c>
      <c r="F135" s="51" t="s">
        <v>854</v>
      </c>
      <c r="G135" s="51" t="s">
        <v>288</v>
      </c>
      <c r="H135" s="51" t="s">
        <v>855</v>
      </c>
    </row>
    <row r="136" spans="1:8" ht="15.75" x14ac:dyDescent="0.25">
      <c r="A136" s="51" t="s">
        <v>837</v>
      </c>
      <c r="B136" s="51" t="s">
        <v>856</v>
      </c>
      <c r="C136" s="51" t="s">
        <v>776</v>
      </c>
      <c r="D136" s="51" t="s">
        <v>857</v>
      </c>
      <c r="E136" s="52" t="s">
        <v>858</v>
      </c>
      <c r="F136" s="51" t="s">
        <v>859</v>
      </c>
      <c r="G136" s="51" t="s">
        <v>305</v>
      </c>
      <c r="H136" s="51" t="s">
        <v>855</v>
      </c>
    </row>
    <row r="137" spans="1:8" ht="15.75" x14ac:dyDescent="0.25">
      <c r="A137" s="51" t="s">
        <v>837</v>
      </c>
      <c r="B137" s="51" t="s">
        <v>860</v>
      </c>
      <c r="C137" s="51" t="s">
        <v>776</v>
      </c>
      <c r="D137" s="51" t="s">
        <v>861</v>
      </c>
      <c r="E137" s="52" t="s">
        <v>862</v>
      </c>
      <c r="F137" s="51" t="s">
        <v>863</v>
      </c>
      <c r="G137" s="51" t="s">
        <v>305</v>
      </c>
      <c r="H137" s="51" t="s">
        <v>864</v>
      </c>
    </row>
    <row r="138" spans="1:8" ht="15.75" x14ac:dyDescent="0.25">
      <c r="A138" s="51" t="s">
        <v>678</v>
      </c>
      <c r="B138" s="51" t="s">
        <v>865</v>
      </c>
      <c r="C138" s="51" t="s">
        <v>776</v>
      </c>
      <c r="D138" s="51" t="s">
        <v>866</v>
      </c>
      <c r="E138" s="52" t="s">
        <v>867</v>
      </c>
      <c r="F138" s="51" t="s">
        <v>868</v>
      </c>
      <c r="G138" s="51" t="s">
        <v>288</v>
      </c>
      <c r="H138" s="51" t="s">
        <v>864</v>
      </c>
    </row>
    <row r="139" spans="1:8" ht="15.75" x14ac:dyDescent="0.25">
      <c r="A139" s="51" t="s">
        <v>678</v>
      </c>
      <c r="B139" s="51" t="s">
        <v>851</v>
      </c>
      <c r="C139" s="51" t="s">
        <v>776</v>
      </c>
      <c r="D139" s="51" t="s">
        <v>869</v>
      </c>
      <c r="E139" s="52" t="s">
        <v>853</v>
      </c>
      <c r="F139" s="51" t="s">
        <v>870</v>
      </c>
      <c r="G139" s="51" t="s">
        <v>288</v>
      </c>
      <c r="H139" s="51" t="s">
        <v>294</v>
      </c>
    </row>
    <row r="140" spans="1:8" ht="15.75" x14ac:dyDescent="0.25">
      <c r="A140" s="51" t="s">
        <v>678</v>
      </c>
      <c r="B140" s="51" t="s">
        <v>871</v>
      </c>
      <c r="C140" s="51" t="s">
        <v>776</v>
      </c>
      <c r="D140" s="51" t="s">
        <v>872</v>
      </c>
      <c r="E140" s="52" t="s">
        <v>873</v>
      </c>
      <c r="F140" s="51" t="s">
        <v>874</v>
      </c>
      <c r="G140" s="51" t="s">
        <v>288</v>
      </c>
      <c r="H140" s="51" t="s">
        <v>875</v>
      </c>
    </row>
    <row r="141" spans="1:8" ht="15.75" x14ac:dyDescent="0.25">
      <c r="A141" s="51" t="s">
        <v>837</v>
      </c>
      <c r="B141" s="51" t="s">
        <v>876</v>
      </c>
      <c r="C141" s="51" t="s">
        <v>776</v>
      </c>
      <c r="D141" s="51" t="s">
        <v>877</v>
      </c>
      <c r="E141" s="52" t="s">
        <v>878</v>
      </c>
      <c r="F141" s="51" t="s">
        <v>879</v>
      </c>
      <c r="G141" s="51" t="s">
        <v>305</v>
      </c>
      <c r="H141" s="51" t="s">
        <v>875</v>
      </c>
    </row>
    <row r="142" spans="1:8" ht="15.75" x14ac:dyDescent="0.25">
      <c r="A142" s="51" t="s">
        <v>837</v>
      </c>
      <c r="B142" s="51" t="s">
        <v>880</v>
      </c>
      <c r="C142" s="51" t="s">
        <v>776</v>
      </c>
      <c r="D142" s="51" t="s">
        <v>881</v>
      </c>
      <c r="E142" s="52" t="s">
        <v>882</v>
      </c>
      <c r="F142" s="51" t="s">
        <v>883</v>
      </c>
      <c r="G142" s="51" t="s">
        <v>305</v>
      </c>
      <c r="H142" s="51" t="s">
        <v>884</v>
      </c>
    </row>
    <row r="143" spans="1:8" ht="15.75" x14ac:dyDescent="0.25">
      <c r="A143" s="51" t="s">
        <v>678</v>
      </c>
      <c r="B143" s="51" t="s">
        <v>885</v>
      </c>
      <c r="C143" s="51" t="s">
        <v>776</v>
      </c>
      <c r="D143" s="51" t="s">
        <v>886</v>
      </c>
      <c r="E143" s="52" t="s">
        <v>887</v>
      </c>
      <c r="F143" s="51" t="s">
        <v>888</v>
      </c>
      <c r="G143" s="51" t="s">
        <v>288</v>
      </c>
      <c r="H143" s="51" t="s">
        <v>884</v>
      </c>
    </row>
    <row r="144" spans="1:8" ht="15.75" x14ac:dyDescent="0.25">
      <c r="A144" s="51" t="s">
        <v>678</v>
      </c>
      <c r="B144" s="51" t="s">
        <v>889</v>
      </c>
      <c r="C144" s="51" t="s">
        <v>890</v>
      </c>
      <c r="D144" s="51" t="s">
        <v>891</v>
      </c>
      <c r="E144" s="52" t="s">
        <v>892</v>
      </c>
      <c r="F144" s="51" t="s">
        <v>893</v>
      </c>
      <c r="G144" s="51" t="s">
        <v>288</v>
      </c>
      <c r="H144" s="51" t="s">
        <v>894</v>
      </c>
    </row>
    <row r="145" spans="1:8" ht="15.75" x14ac:dyDescent="0.25">
      <c r="A145" s="51" t="s">
        <v>678</v>
      </c>
      <c r="B145" s="51" t="s">
        <v>865</v>
      </c>
      <c r="C145" s="51" t="s">
        <v>890</v>
      </c>
      <c r="D145" s="51" t="s">
        <v>895</v>
      </c>
      <c r="E145" s="52" t="s">
        <v>867</v>
      </c>
      <c r="F145" s="51" t="s">
        <v>896</v>
      </c>
      <c r="G145" s="51" t="s">
        <v>288</v>
      </c>
      <c r="H145" s="51" t="s">
        <v>294</v>
      </c>
    </row>
    <row r="146" spans="1:8" ht="15.75" x14ac:dyDescent="0.25">
      <c r="A146" s="51" t="s">
        <v>678</v>
      </c>
      <c r="B146" s="51" t="s">
        <v>897</v>
      </c>
      <c r="C146" s="51" t="s">
        <v>890</v>
      </c>
      <c r="D146" s="51" t="s">
        <v>898</v>
      </c>
      <c r="E146" s="52" t="s">
        <v>899</v>
      </c>
      <c r="F146" s="51" t="s">
        <v>900</v>
      </c>
      <c r="G146" s="51" t="s">
        <v>288</v>
      </c>
      <c r="H146" s="51" t="s">
        <v>901</v>
      </c>
    </row>
    <row r="147" spans="1:8" ht="15.75" x14ac:dyDescent="0.25">
      <c r="A147" s="51" t="s">
        <v>837</v>
      </c>
      <c r="B147" s="51" t="s">
        <v>902</v>
      </c>
      <c r="C147" s="51" t="s">
        <v>890</v>
      </c>
      <c r="D147" s="51" t="s">
        <v>903</v>
      </c>
      <c r="E147" s="52" t="s">
        <v>904</v>
      </c>
      <c r="F147" s="51" t="s">
        <v>905</v>
      </c>
      <c r="G147" s="51" t="s">
        <v>305</v>
      </c>
      <c r="H147" s="51" t="s">
        <v>901</v>
      </c>
    </row>
    <row r="148" spans="1:8" ht="15.75" x14ac:dyDescent="0.25">
      <c r="A148" s="51" t="s">
        <v>837</v>
      </c>
      <c r="B148" s="51" t="s">
        <v>906</v>
      </c>
      <c r="C148" s="51" t="s">
        <v>890</v>
      </c>
      <c r="D148" s="51" t="s">
        <v>907</v>
      </c>
      <c r="E148" s="52" t="s">
        <v>908</v>
      </c>
      <c r="F148" s="51" t="s">
        <v>909</v>
      </c>
      <c r="G148" s="51" t="s">
        <v>305</v>
      </c>
      <c r="H148" s="51" t="s">
        <v>910</v>
      </c>
    </row>
    <row r="149" spans="1:8" ht="15.75" x14ac:dyDescent="0.25">
      <c r="A149" s="51" t="s">
        <v>678</v>
      </c>
      <c r="B149" s="51" t="s">
        <v>911</v>
      </c>
      <c r="C149" s="51" t="s">
        <v>890</v>
      </c>
      <c r="D149" s="51" t="s">
        <v>903</v>
      </c>
      <c r="E149" s="52" t="s">
        <v>912</v>
      </c>
      <c r="F149" s="51" t="s">
        <v>905</v>
      </c>
      <c r="G149" s="51" t="s">
        <v>288</v>
      </c>
      <c r="H149" s="51" t="s">
        <v>910</v>
      </c>
    </row>
    <row r="150" spans="1:8" ht="15.75" x14ac:dyDescent="0.25">
      <c r="A150" s="51" t="s">
        <v>678</v>
      </c>
      <c r="B150" s="51" t="s">
        <v>913</v>
      </c>
      <c r="C150" s="51" t="s">
        <v>890</v>
      </c>
      <c r="D150" s="51" t="s">
        <v>914</v>
      </c>
      <c r="E150" s="52" t="s">
        <v>915</v>
      </c>
      <c r="F150" s="51" t="s">
        <v>916</v>
      </c>
      <c r="G150" s="51" t="s">
        <v>288</v>
      </c>
      <c r="H150" s="51" t="s">
        <v>917</v>
      </c>
    </row>
    <row r="151" spans="1:8" ht="15.75" x14ac:dyDescent="0.25">
      <c r="A151" s="51" t="s">
        <v>837</v>
      </c>
      <c r="B151" s="51" t="s">
        <v>918</v>
      </c>
      <c r="C151" s="51" t="s">
        <v>890</v>
      </c>
      <c r="D151" s="51" t="s">
        <v>919</v>
      </c>
      <c r="E151" s="52" t="s">
        <v>920</v>
      </c>
      <c r="F151" s="51" t="s">
        <v>921</v>
      </c>
      <c r="G151" s="51" t="s">
        <v>305</v>
      </c>
      <c r="H151" s="51" t="s">
        <v>917</v>
      </c>
    </row>
    <row r="152" spans="1:8" ht="15.75" x14ac:dyDescent="0.25">
      <c r="A152" s="51" t="s">
        <v>837</v>
      </c>
      <c r="B152" s="51" t="s">
        <v>860</v>
      </c>
      <c r="C152" s="51" t="s">
        <v>890</v>
      </c>
      <c r="D152" s="51" t="s">
        <v>922</v>
      </c>
      <c r="E152" s="52" t="s">
        <v>862</v>
      </c>
      <c r="F152" s="51" t="s">
        <v>923</v>
      </c>
      <c r="G152" s="51" t="s">
        <v>305</v>
      </c>
      <c r="H152" s="51" t="s">
        <v>924</v>
      </c>
    </row>
    <row r="153" spans="1:8" ht="15.75" x14ac:dyDescent="0.25">
      <c r="A153" s="51" t="s">
        <v>678</v>
      </c>
      <c r="B153" s="51" t="s">
        <v>925</v>
      </c>
      <c r="C153" s="51" t="s">
        <v>890</v>
      </c>
      <c r="D153" s="51" t="s">
        <v>926</v>
      </c>
      <c r="E153" s="52" t="s">
        <v>927</v>
      </c>
      <c r="F153" s="51" t="s">
        <v>928</v>
      </c>
      <c r="G153" s="51" t="s">
        <v>288</v>
      </c>
      <c r="H153" s="51" t="s">
        <v>924</v>
      </c>
    </row>
    <row r="154" spans="1:8" ht="15.75" x14ac:dyDescent="0.25">
      <c r="A154" s="51" t="s">
        <v>678</v>
      </c>
      <c r="B154" s="51" t="s">
        <v>929</v>
      </c>
      <c r="C154" s="51" t="s">
        <v>890</v>
      </c>
      <c r="D154" s="51" t="s">
        <v>930</v>
      </c>
      <c r="E154" s="52" t="s">
        <v>931</v>
      </c>
      <c r="F154" s="51" t="s">
        <v>932</v>
      </c>
      <c r="G154" s="51" t="s">
        <v>288</v>
      </c>
      <c r="H154" s="51" t="s">
        <v>294</v>
      </c>
    </row>
    <row r="155" spans="1:8" ht="15.75" x14ac:dyDescent="0.25">
      <c r="A155" s="51" t="s">
        <v>678</v>
      </c>
      <c r="B155" s="51" t="s">
        <v>933</v>
      </c>
      <c r="C155" s="51" t="s">
        <v>890</v>
      </c>
      <c r="D155" s="51" t="s">
        <v>934</v>
      </c>
      <c r="E155" s="52" t="s">
        <v>935</v>
      </c>
      <c r="F155" s="51" t="s">
        <v>936</v>
      </c>
      <c r="G155" s="51" t="s">
        <v>288</v>
      </c>
      <c r="H155" s="51" t="s">
        <v>294</v>
      </c>
    </row>
    <row r="156" spans="1:8" ht="15.75" x14ac:dyDescent="0.25">
      <c r="A156" s="51" t="s">
        <v>678</v>
      </c>
      <c r="B156" s="51" t="s">
        <v>937</v>
      </c>
      <c r="C156" s="51" t="s">
        <v>890</v>
      </c>
      <c r="D156" s="51" t="s">
        <v>938</v>
      </c>
      <c r="E156" s="52" t="s">
        <v>939</v>
      </c>
      <c r="F156" s="51" t="s">
        <v>940</v>
      </c>
      <c r="G156" s="51" t="s">
        <v>305</v>
      </c>
      <c r="H156" s="51" t="s">
        <v>941</v>
      </c>
    </row>
    <row r="157" spans="1:8" ht="15.75" x14ac:dyDescent="0.25">
      <c r="A157" s="51" t="s">
        <v>837</v>
      </c>
      <c r="B157" s="51" t="s">
        <v>942</v>
      </c>
      <c r="C157" s="51" t="s">
        <v>890</v>
      </c>
      <c r="D157" s="51" t="s">
        <v>943</v>
      </c>
      <c r="E157" s="52" t="s">
        <v>944</v>
      </c>
      <c r="F157" s="51" t="s">
        <v>945</v>
      </c>
      <c r="G157" s="51" t="s">
        <v>305</v>
      </c>
      <c r="H157" s="51" t="s">
        <v>941</v>
      </c>
    </row>
    <row r="158" spans="1:8" ht="15.75" x14ac:dyDescent="0.25">
      <c r="A158" s="51" t="s">
        <v>837</v>
      </c>
      <c r="B158" s="51" t="s">
        <v>946</v>
      </c>
      <c r="C158" s="51" t="s">
        <v>890</v>
      </c>
      <c r="D158" s="51" t="s">
        <v>947</v>
      </c>
      <c r="E158" s="52" t="s">
        <v>948</v>
      </c>
      <c r="F158" s="51" t="s">
        <v>949</v>
      </c>
      <c r="G158" s="51" t="s">
        <v>288</v>
      </c>
      <c r="H158" s="51" t="s">
        <v>950</v>
      </c>
    </row>
    <row r="159" spans="1:8" ht="15.75" x14ac:dyDescent="0.25">
      <c r="A159" s="51" t="s">
        <v>678</v>
      </c>
      <c r="B159" s="51" t="s">
        <v>951</v>
      </c>
      <c r="C159" s="51" t="s">
        <v>890</v>
      </c>
      <c r="D159" s="51" t="s">
        <v>952</v>
      </c>
      <c r="E159" s="52" t="s">
        <v>953</v>
      </c>
      <c r="F159" s="51" t="s">
        <v>954</v>
      </c>
      <c r="G159" s="51" t="s">
        <v>288</v>
      </c>
      <c r="H159" s="51" t="s">
        <v>950</v>
      </c>
    </row>
    <row r="160" spans="1:8" ht="15.75" x14ac:dyDescent="0.25">
      <c r="A160" s="51" t="s">
        <v>678</v>
      </c>
      <c r="B160" s="51" t="s">
        <v>933</v>
      </c>
      <c r="C160" s="51" t="s">
        <v>890</v>
      </c>
      <c r="D160" s="51" t="s">
        <v>955</v>
      </c>
      <c r="E160" s="52" t="s">
        <v>935</v>
      </c>
      <c r="F160" s="51" t="s">
        <v>956</v>
      </c>
      <c r="G160" s="51" t="s">
        <v>288</v>
      </c>
      <c r="H160" s="51" t="s">
        <v>294</v>
      </c>
    </row>
    <row r="161" spans="1:8" ht="15.75" x14ac:dyDescent="0.25">
      <c r="A161" s="51" t="s">
        <v>678</v>
      </c>
      <c r="B161" s="51" t="s">
        <v>929</v>
      </c>
      <c r="C161" s="51" t="s">
        <v>890</v>
      </c>
      <c r="D161" s="51" t="s">
        <v>957</v>
      </c>
      <c r="E161" s="52" t="s">
        <v>931</v>
      </c>
      <c r="F161" s="51" t="s">
        <v>958</v>
      </c>
      <c r="G161" s="51" t="s">
        <v>288</v>
      </c>
      <c r="H161" s="51" t="s">
        <v>294</v>
      </c>
    </row>
    <row r="162" spans="1:8" ht="15.75" x14ac:dyDescent="0.25">
      <c r="A162" s="51" t="s">
        <v>678</v>
      </c>
      <c r="B162" s="51" t="s">
        <v>959</v>
      </c>
      <c r="C162" s="51" t="s">
        <v>890</v>
      </c>
      <c r="D162" s="51" t="s">
        <v>960</v>
      </c>
      <c r="E162" s="52" t="s">
        <v>961</v>
      </c>
      <c r="F162" s="51" t="s">
        <v>962</v>
      </c>
      <c r="G162" s="51" t="s">
        <v>288</v>
      </c>
      <c r="H162" s="51" t="s">
        <v>963</v>
      </c>
    </row>
    <row r="163" spans="1:8" ht="15.75" x14ac:dyDescent="0.25">
      <c r="A163" s="51" t="s">
        <v>678</v>
      </c>
      <c r="B163" s="51" t="s">
        <v>964</v>
      </c>
      <c r="C163" s="51" t="s">
        <v>890</v>
      </c>
      <c r="D163" s="51" t="s">
        <v>965</v>
      </c>
      <c r="E163" s="52" t="s">
        <v>966</v>
      </c>
      <c r="F163" s="51" t="s">
        <v>967</v>
      </c>
      <c r="G163" s="51" t="s">
        <v>288</v>
      </c>
      <c r="H163" s="51" t="s">
        <v>294</v>
      </c>
    </row>
    <row r="164" spans="1:8" ht="15.75" x14ac:dyDescent="0.25">
      <c r="A164" s="51" t="s">
        <v>678</v>
      </c>
      <c r="B164" s="51" t="s">
        <v>699</v>
      </c>
      <c r="C164" s="51" t="s">
        <v>890</v>
      </c>
      <c r="D164" s="51" t="s">
        <v>960</v>
      </c>
      <c r="E164" s="52" t="s">
        <v>701</v>
      </c>
      <c r="F164" s="51" t="s">
        <v>962</v>
      </c>
      <c r="G164" s="51" t="s">
        <v>288</v>
      </c>
      <c r="H164" s="51" t="s">
        <v>294</v>
      </c>
    </row>
    <row r="165" spans="1:8" ht="15.75" x14ac:dyDescent="0.25">
      <c r="A165" s="51" t="s">
        <v>678</v>
      </c>
      <c r="B165" s="51" t="s">
        <v>968</v>
      </c>
      <c r="C165" s="51" t="s">
        <v>890</v>
      </c>
      <c r="D165" s="51" t="s">
        <v>969</v>
      </c>
      <c r="E165" s="52" t="s">
        <v>970</v>
      </c>
      <c r="F165" s="51" t="s">
        <v>971</v>
      </c>
      <c r="G165" s="51" t="s">
        <v>288</v>
      </c>
      <c r="H165" s="51" t="s">
        <v>294</v>
      </c>
    </row>
    <row r="166" spans="1:8" ht="15.75" x14ac:dyDescent="0.25">
      <c r="A166" s="51" t="s">
        <v>678</v>
      </c>
      <c r="B166" s="51" t="s">
        <v>699</v>
      </c>
      <c r="C166" s="51" t="s">
        <v>972</v>
      </c>
      <c r="D166" s="51" t="s">
        <v>973</v>
      </c>
      <c r="E166" s="52" t="s">
        <v>701</v>
      </c>
      <c r="F166" s="51" t="s">
        <v>974</v>
      </c>
      <c r="G166" s="51" t="s">
        <v>288</v>
      </c>
      <c r="H166" s="51" t="s">
        <v>975</v>
      </c>
    </row>
    <row r="167" spans="1:8" ht="15.75" x14ac:dyDescent="0.25">
      <c r="A167" s="51" t="s">
        <v>678</v>
      </c>
      <c r="B167" s="51" t="s">
        <v>976</v>
      </c>
      <c r="C167" s="51" t="s">
        <v>972</v>
      </c>
      <c r="D167" s="51" t="s">
        <v>977</v>
      </c>
      <c r="E167" s="52" t="s">
        <v>978</v>
      </c>
      <c r="F167" s="51" t="s">
        <v>979</v>
      </c>
      <c r="G167" s="51" t="s">
        <v>305</v>
      </c>
      <c r="H167" s="51" t="s">
        <v>975</v>
      </c>
    </row>
    <row r="168" spans="1:8" ht="15.75" x14ac:dyDescent="0.25">
      <c r="A168" s="51" t="s">
        <v>678</v>
      </c>
      <c r="B168" s="51" t="s">
        <v>980</v>
      </c>
      <c r="C168" s="51" t="s">
        <v>972</v>
      </c>
      <c r="D168" s="51" t="s">
        <v>981</v>
      </c>
      <c r="E168" s="52" t="s">
        <v>982</v>
      </c>
      <c r="F168" s="51" t="s">
        <v>983</v>
      </c>
      <c r="G168" s="51" t="s">
        <v>305</v>
      </c>
      <c r="H168" s="51" t="s">
        <v>984</v>
      </c>
    </row>
    <row r="169" spans="1:8" ht="15.75" x14ac:dyDescent="0.25">
      <c r="A169" s="51" t="s">
        <v>678</v>
      </c>
      <c r="B169" s="51" t="s">
        <v>985</v>
      </c>
      <c r="C169" s="51" t="s">
        <v>972</v>
      </c>
      <c r="D169" s="51" t="s">
        <v>986</v>
      </c>
      <c r="E169" s="52" t="s">
        <v>987</v>
      </c>
      <c r="F169" s="51" t="s">
        <v>988</v>
      </c>
      <c r="G169" s="51" t="s">
        <v>288</v>
      </c>
      <c r="H169" s="51" t="s">
        <v>984</v>
      </c>
    </row>
    <row r="170" spans="1:8" ht="15.75" x14ac:dyDescent="0.25">
      <c r="A170" s="51" t="s">
        <v>678</v>
      </c>
      <c r="B170" s="51" t="s">
        <v>804</v>
      </c>
      <c r="C170" s="51" t="s">
        <v>972</v>
      </c>
      <c r="D170" s="51" t="s">
        <v>989</v>
      </c>
      <c r="E170" s="52" t="s">
        <v>806</v>
      </c>
      <c r="F170" s="51" t="s">
        <v>990</v>
      </c>
      <c r="G170" s="51" t="s">
        <v>288</v>
      </c>
      <c r="H170" s="51" t="s">
        <v>294</v>
      </c>
    </row>
    <row r="171" spans="1:8" ht="15.75" x14ac:dyDescent="0.25">
      <c r="A171" s="51" t="s">
        <v>678</v>
      </c>
      <c r="B171" s="51" t="s">
        <v>991</v>
      </c>
      <c r="C171" s="51" t="s">
        <v>972</v>
      </c>
      <c r="D171" s="51" t="s">
        <v>992</v>
      </c>
      <c r="E171" s="52" t="s">
        <v>993</v>
      </c>
      <c r="F171" s="51" t="s">
        <v>994</v>
      </c>
      <c r="G171" s="51" t="s">
        <v>288</v>
      </c>
      <c r="H171" s="51" t="s">
        <v>995</v>
      </c>
    </row>
    <row r="172" spans="1:8" ht="15.75" x14ac:dyDescent="0.25">
      <c r="A172" s="51" t="s">
        <v>837</v>
      </c>
      <c r="B172" s="51" t="s">
        <v>996</v>
      </c>
      <c r="C172" s="51" t="s">
        <v>972</v>
      </c>
      <c r="D172" s="51" t="s">
        <v>997</v>
      </c>
      <c r="E172" s="52" t="s">
        <v>998</v>
      </c>
      <c r="F172" s="51" t="s">
        <v>999</v>
      </c>
      <c r="G172" s="51" t="s">
        <v>305</v>
      </c>
      <c r="H172" s="51" t="s">
        <v>995</v>
      </c>
    </row>
    <row r="173" spans="1:8" ht="15.75" x14ac:dyDescent="0.25">
      <c r="A173" s="51" t="s">
        <v>837</v>
      </c>
      <c r="B173" s="51" t="s">
        <v>1000</v>
      </c>
      <c r="C173" s="51" t="s">
        <v>972</v>
      </c>
      <c r="D173" s="51" t="s">
        <v>1001</v>
      </c>
      <c r="E173" s="52" t="s">
        <v>1002</v>
      </c>
      <c r="F173" s="51" t="s">
        <v>1003</v>
      </c>
      <c r="G173" s="51" t="s">
        <v>305</v>
      </c>
      <c r="H173" s="51" t="s">
        <v>1004</v>
      </c>
    </row>
    <row r="174" spans="1:8" ht="15.75" x14ac:dyDescent="0.25">
      <c r="A174" s="51" t="s">
        <v>678</v>
      </c>
      <c r="B174" s="51" t="s">
        <v>1005</v>
      </c>
      <c r="C174" s="51" t="s">
        <v>972</v>
      </c>
      <c r="D174" s="51" t="s">
        <v>1006</v>
      </c>
      <c r="E174" s="52" t="s">
        <v>1007</v>
      </c>
      <c r="F174" s="51" t="s">
        <v>1008</v>
      </c>
      <c r="G174" s="51" t="s">
        <v>288</v>
      </c>
      <c r="H174" s="51" t="s">
        <v>1004</v>
      </c>
    </row>
    <row r="175" spans="1:8" ht="15.75" x14ac:dyDescent="0.25">
      <c r="A175" s="51" t="s">
        <v>678</v>
      </c>
      <c r="B175" s="51" t="s">
        <v>775</v>
      </c>
      <c r="C175" s="51" t="s">
        <v>972</v>
      </c>
      <c r="D175" s="51" t="s">
        <v>1009</v>
      </c>
      <c r="E175" s="52" t="s">
        <v>778</v>
      </c>
      <c r="F175" s="51" t="s">
        <v>1010</v>
      </c>
      <c r="G175" s="51" t="s">
        <v>288</v>
      </c>
      <c r="H175" s="51" t="s">
        <v>1011</v>
      </c>
    </row>
    <row r="176" spans="1:8" ht="15.75" x14ac:dyDescent="0.25">
      <c r="A176" s="51" t="s">
        <v>837</v>
      </c>
      <c r="B176" s="51" t="s">
        <v>1012</v>
      </c>
      <c r="C176" s="51" t="s">
        <v>1013</v>
      </c>
      <c r="D176" s="51" t="s">
        <v>1014</v>
      </c>
      <c r="E176" s="52" t="s">
        <v>1015</v>
      </c>
      <c r="F176" s="51" t="s">
        <v>1016</v>
      </c>
      <c r="G176" s="51" t="s">
        <v>305</v>
      </c>
      <c r="H176" s="51" t="s">
        <v>1011</v>
      </c>
    </row>
    <row r="177" spans="1:8" ht="15.75" x14ac:dyDescent="0.25">
      <c r="A177" s="51" t="s">
        <v>837</v>
      </c>
      <c r="B177" s="51" t="s">
        <v>1017</v>
      </c>
      <c r="C177" s="51" t="s">
        <v>1013</v>
      </c>
      <c r="D177" s="51" t="s">
        <v>1018</v>
      </c>
      <c r="E177" s="52" t="s">
        <v>1019</v>
      </c>
      <c r="F177" s="51" t="s">
        <v>1020</v>
      </c>
      <c r="G177" s="51" t="s">
        <v>305</v>
      </c>
      <c r="H177" s="51" t="s">
        <v>1021</v>
      </c>
    </row>
    <row r="178" spans="1:8" ht="15.75" x14ac:dyDescent="0.25">
      <c r="A178" s="51" t="s">
        <v>678</v>
      </c>
      <c r="B178" s="51" t="s">
        <v>1022</v>
      </c>
      <c r="C178" s="51" t="s">
        <v>1013</v>
      </c>
      <c r="D178" s="51" t="s">
        <v>1023</v>
      </c>
      <c r="E178" s="52" t="s">
        <v>1024</v>
      </c>
      <c r="F178" s="51" t="s">
        <v>1025</v>
      </c>
      <c r="G178" s="51" t="s">
        <v>288</v>
      </c>
      <c r="H178" s="51" t="s">
        <v>1021</v>
      </c>
    </row>
    <row r="179" spans="1:8" ht="15.75" x14ac:dyDescent="0.25">
      <c r="A179" s="51" t="s">
        <v>678</v>
      </c>
      <c r="B179" s="51" t="s">
        <v>1026</v>
      </c>
      <c r="C179" s="51" t="s">
        <v>1013</v>
      </c>
      <c r="D179" s="51" t="s">
        <v>1027</v>
      </c>
      <c r="E179" s="52" t="s">
        <v>1028</v>
      </c>
      <c r="F179" s="51" t="s">
        <v>1029</v>
      </c>
      <c r="G179" s="51" t="s">
        <v>288</v>
      </c>
      <c r="H179" s="51" t="s">
        <v>294</v>
      </c>
    </row>
    <row r="180" spans="1:8" ht="15.75" x14ac:dyDescent="0.25">
      <c r="A180" s="51" t="s">
        <v>678</v>
      </c>
      <c r="B180" s="51" t="s">
        <v>683</v>
      </c>
      <c r="C180" s="51" t="s">
        <v>1013</v>
      </c>
      <c r="D180" s="51" t="s">
        <v>1030</v>
      </c>
      <c r="E180" s="52" t="s">
        <v>685</v>
      </c>
      <c r="F180" s="51" t="s">
        <v>1031</v>
      </c>
      <c r="G180" s="51" t="s">
        <v>288</v>
      </c>
      <c r="H180" s="51" t="s">
        <v>1032</v>
      </c>
    </row>
    <row r="181" spans="1:8" ht="15.75" x14ac:dyDescent="0.25">
      <c r="A181" s="51" t="s">
        <v>678</v>
      </c>
      <c r="B181" s="51" t="s">
        <v>1033</v>
      </c>
      <c r="C181" s="51" t="s">
        <v>1013</v>
      </c>
      <c r="D181" s="51" t="s">
        <v>1034</v>
      </c>
      <c r="E181" s="52" t="s">
        <v>1035</v>
      </c>
      <c r="F181" s="51" t="s">
        <v>1036</v>
      </c>
      <c r="G181" s="51" t="s">
        <v>288</v>
      </c>
      <c r="H181" s="51" t="s">
        <v>294</v>
      </c>
    </row>
    <row r="182" spans="1:8" ht="15.75" x14ac:dyDescent="0.25">
      <c r="A182" s="51" t="s">
        <v>678</v>
      </c>
      <c r="B182" s="51" t="s">
        <v>1037</v>
      </c>
      <c r="C182" s="51" t="s">
        <v>1013</v>
      </c>
      <c r="D182" s="51" t="s">
        <v>1038</v>
      </c>
      <c r="E182" s="52" t="s">
        <v>1039</v>
      </c>
      <c r="F182" s="51" t="s">
        <v>1040</v>
      </c>
      <c r="G182" s="51" t="s">
        <v>288</v>
      </c>
      <c r="H182" s="51" t="s">
        <v>294</v>
      </c>
    </row>
    <row r="183" spans="1:8" ht="15.75" x14ac:dyDescent="0.25">
      <c r="A183" s="51" t="s">
        <v>678</v>
      </c>
      <c r="B183" s="51" t="s">
        <v>1041</v>
      </c>
      <c r="C183" s="51" t="s">
        <v>1013</v>
      </c>
      <c r="D183" s="51" t="s">
        <v>1042</v>
      </c>
      <c r="E183" s="52" t="s">
        <v>1043</v>
      </c>
      <c r="F183" s="51" t="s">
        <v>1044</v>
      </c>
      <c r="G183" s="51" t="s">
        <v>288</v>
      </c>
      <c r="H183" s="51" t="s">
        <v>1045</v>
      </c>
    </row>
    <row r="184" spans="1:8" ht="15.75" x14ac:dyDescent="0.25">
      <c r="A184" s="51" t="s">
        <v>837</v>
      </c>
      <c r="B184" s="51" t="s">
        <v>1046</v>
      </c>
      <c r="C184" s="51" t="s">
        <v>1013</v>
      </c>
      <c r="D184" s="51" t="s">
        <v>1047</v>
      </c>
      <c r="E184" s="52" t="s">
        <v>1048</v>
      </c>
      <c r="F184" s="51" t="s">
        <v>1049</v>
      </c>
      <c r="G184" s="51" t="s">
        <v>305</v>
      </c>
      <c r="H184" s="51" t="s">
        <v>1045</v>
      </c>
    </row>
    <row r="185" spans="1:8" ht="15.75" x14ac:dyDescent="0.25">
      <c r="A185" s="51" t="s">
        <v>837</v>
      </c>
      <c r="B185" s="51" t="s">
        <v>1050</v>
      </c>
      <c r="C185" s="51" t="s">
        <v>1013</v>
      </c>
      <c r="D185" s="51" t="s">
        <v>1051</v>
      </c>
      <c r="E185" s="52" t="s">
        <v>1052</v>
      </c>
      <c r="F185" s="51" t="s">
        <v>1053</v>
      </c>
      <c r="G185" s="51" t="s">
        <v>305</v>
      </c>
      <c r="H185" s="51" t="s">
        <v>1054</v>
      </c>
    </row>
    <row r="186" spans="1:8" ht="15.75" x14ac:dyDescent="0.25">
      <c r="A186" s="51" t="s">
        <v>678</v>
      </c>
      <c r="B186" s="51" t="s">
        <v>1055</v>
      </c>
      <c r="C186" s="51" t="s">
        <v>1013</v>
      </c>
      <c r="D186" s="51" t="s">
        <v>1056</v>
      </c>
      <c r="E186" s="52" t="s">
        <v>1057</v>
      </c>
      <c r="F186" s="51" t="s">
        <v>1058</v>
      </c>
      <c r="G186" s="51" t="s">
        <v>288</v>
      </c>
      <c r="H186" s="51" t="s">
        <v>1054</v>
      </c>
    </row>
    <row r="187" spans="1:8" ht="15.75" x14ac:dyDescent="0.25">
      <c r="A187" s="51" t="s">
        <v>678</v>
      </c>
      <c r="B187" s="51" t="s">
        <v>1059</v>
      </c>
      <c r="C187" s="51" t="s">
        <v>1013</v>
      </c>
      <c r="D187" s="51" t="s">
        <v>1060</v>
      </c>
      <c r="E187" s="52" t="s">
        <v>1061</v>
      </c>
      <c r="F187" s="51" t="s">
        <v>1062</v>
      </c>
      <c r="G187" s="51" t="s">
        <v>288</v>
      </c>
      <c r="H187" s="51" t="s">
        <v>294</v>
      </c>
    </row>
    <row r="188" spans="1:8" ht="15.75" x14ac:dyDescent="0.25">
      <c r="A188" s="51" t="s">
        <v>678</v>
      </c>
      <c r="B188" s="51" t="s">
        <v>1063</v>
      </c>
      <c r="C188" s="51" t="s">
        <v>1013</v>
      </c>
      <c r="D188" s="51" t="s">
        <v>1064</v>
      </c>
      <c r="E188" s="52" t="s">
        <v>1065</v>
      </c>
      <c r="F188" s="51" t="s">
        <v>1066</v>
      </c>
      <c r="G188" s="51" t="s">
        <v>288</v>
      </c>
      <c r="H188" s="51" t="s">
        <v>294</v>
      </c>
    </row>
    <row r="189" spans="1:8" ht="15.75" x14ac:dyDescent="0.25">
      <c r="A189" s="51" t="s">
        <v>678</v>
      </c>
      <c r="B189" s="51" t="s">
        <v>1067</v>
      </c>
      <c r="C189" s="51" t="s">
        <v>1013</v>
      </c>
      <c r="D189" s="51" t="s">
        <v>1068</v>
      </c>
      <c r="E189" s="52" t="s">
        <v>1069</v>
      </c>
      <c r="F189" s="51" t="s">
        <v>1070</v>
      </c>
      <c r="G189" s="51" t="s">
        <v>288</v>
      </c>
      <c r="H189" s="51" t="s">
        <v>1071</v>
      </c>
    </row>
    <row r="190" spans="1:8" ht="15.75" x14ac:dyDescent="0.25">
      <c r="A190" s="51" t="s">
        <v>837</v>
      </c>
      <c r="B190" s="51" t="s">
        <v>1072</v>
      </c>
      <c r="C190" s="51" t="s">
        <v>1013</v>
      </c>
      <c r="D190" s="51" t="s">
        <v>1073</v>
      </c>
      <c r="E190" s="52" t="s">
        <v>1074</v>
      </c>
      <c r="F190" s="51" t="s">
        <v>1075</v>
      </c>
      <c r="G190" s="51" t="s">
        <v>305</v>
      </c>
      <c r="H190" s="51" t="s">
        <v>1071</v>
      </c>
    </row>
    <row r="191" spans="1:8" ht="15.75" x14ac:dyDescent="0.25">
      <c r="A191" s="51" t="s">
        <v>678</v>
      </c>
      <c r="B191" s="51" t="s">
        <v>1076</v>
      </c>
      <c r="C191" s="51" t="s">
        <v>1077</v>
      </c>
      <c r="D191" s="51" t="s">
        <v>1078</v>
      </c>
      <c r="E191" s="52" t="s">
        <v>1079</v>
      </c>
      <c r="F191" s="51" t="s">
        <v>1080</v>
      </c>
      <c r="G191" s="51" t="s">
        <v>305</v>
      </c>
      <c r="H191" s="51" t="s">
        <v>1081</v>
      </c>
    </row>
    <row r="192" spans="1:8" ht="15.75" x14ac:dyDescent="0.25">
      <c r="A192" s="51" t="s">
        <v>678</v>
      </c>
      <c r="B192" s="51" t="s">
        <v>690</v>
      </c>
      <c r="C192" s="51" t="s">
        <v>1013</v>
      </c>
      <c r="D192" s="51" t="s">
        <v>1082</v>
      </c>
      <c r="E192" s="52" t="s">
        <v>692</v>
      </c>
      <c r="F192" s="51" t="s">
        <v>1083</v>
      </c>
      <c r="G192" s="51" t="s">
        <v>288</v>
      </c>
      <c r="H192" s="51" t="s">
        <v>1081</v>
      </c>
    </row>
    <row r="193" spans="1:8" ht="15.75" x14ac:dyDescent="0.25">
      <c r="A193" s="51" t="s">
        <v>678</v>
      </c>
      <c r="B193" s="51" t="s">
        <v>690</v>
      </c>
      <c r="C193" s="51" t="s">
        <v>1077</v>
      </c>
      <c r="D193" s="51" t="s">
        <v>1084</v>
      </c>
      <c r="E193" s="52" t="s">
        <v>692</v>
      </c>
      <c r="F193" s="51" t="s">
        <v>1085</v>
      </c>
      <c r="G193" s="51" t="s">
        <v>288</v>
      </c>
      <c r="H193" s="51" t="s">
        <v>1086</v>
      </c>
    </row>
    <row r="194" spans="1:8" ht="15.75" x14ac:dyDescent="0.25">
      <c r="A194" s="51" t="s">
        <v>678</v>
      </c>
      <c r="B194" s="51" t="s">
        <v>1087</v>
      </c>
      <c r="C194" s="51" t="s">
        <v>1077</v>
      </c>
      <c r="D194" s="51" t="s">
        <v>1088</v>
      </c>
      <c r="E194" s="52" t="s">
        <v>1089</v>
      </c>
      <c r="F194" s="51" t="s">
        <v>1090</v>
      </c>
      <c r="G194" s="51" t="s">
        <v>305</v>
      </c>
      <c r="H194" s="51" t="s">
        <v>1086</v>
      </c>
    </row>
    <row r="195" spans="1:8" ht="15.75" x14ac:dyDescent="0.25">
      <c r="A195" s="51" t="s">
        <v>678</v>
      </c>
      <c r="B195" s="51" t="s">
        <v>1091</v>
      </c>
      <c r="C195" s="51" t="s">
        <v>1077</v>
      </c>
      <c r="D195" s="51" t="s">
        <v>1092</v>
      </c>
      <c r="E195" s="52" t="s">
        <v>1093</v>
      </c>
      <c r="F195" s="51" t="s">
        <v>1094</v>
      </c>
      <c r="G195" s="51" t="s">
        <v>305</v>
      </c>
      <c r="H195" s="51" t="s">
        <v>1095</v>
      </c>
    </row>
    <row r="196" spans="1:8" ht="15.75" x14ac:dyDescent="0.25">
      <c r="A196" s="51" t="s">
        <v>678</v>
      </c>
      <c r="B196" s="51" t="s">
        <v>1096</v>
      </c>
      <c r="C196" s="51" t="s">
        <v>1077</v>
      </c>
      <c r="D196" s="51" t="s">
        <v>1097</v>
      </c>
      <c r="E196" s="52" t="s">
        <v>1098</v>
      </c>
      <c r="F196" s="51" t="s">
        <v>1099</v>
      </c>
      <c r="G196" s="51" t="s">
        <v>288</v>
      </c>
      <c r="H196" s="51" t="s">
        <v>1095</v>
      </c>
    </row>
    <row r="197" spans="1:8" ht="15.75" x14ac:dyDescent="0.25">
      <c r="A197" s="51" t="s">
        <v>678</v>
      </c>
      <c r="B197" s="51" t="s">
        <v>1033</v>
      </c>
      <c r="C197" s="51" t="s">
        <v>1077</v>
      </c>
      <c r="D197" s="51" t="s">
        <v>1100</v>
      </c>
      <c r="E197" s="52" t="s">
        <v>1035</v>
      </c>
      <c r="F197" s="51" t="s">
        <v>1101</v>
      </c>
      <c r="G197" s="51" t="s">
        <v>288</v>
      </c>
      <c r="H197" s="51" t="s">
        <v>294</v>
      </c>
    </row>
    <row r="198" spans="1:8" ht="15.75" x14ac:dyDescent="0.25">
      <c r="A198" s="51" t="s">
        <v>678</v>
      </c>
      <c r="B198" s="51" t="s">
        <v>1102</v>
      </c>
      <c r="C198" s="51" t="s">
        <v>1077</v>
      </c>
      <c r="D198" s="51" t="s">
        <v>1100</v>
      </c>
      <c r="E198" s="52" t="s">
        <v>1103</v>
      </c>
      <c r="F198" s="51" t="s">
        <v>1101</v>
      </c>
      <c r="G198" s="51" t="s">
        <v>288</v>
      </c>
      <c r="H198" s="51" t="s">
        <v>294</v>
      </c>
    </row>
    <row r="199" spans="1:8" ht="15.75" x14ac:dyDescent="0.25">
      <c r="A199" s="51" t="s">
        <v>678</v>
      </c>
      <c r="B199" s="51" t="s">
        <v>1104</v>
      </c>
      <c r="C199" s="51" t="s">
        <v>1077</v>
      </c>
      <c r="D199" s="51" t="s">
        <v>1105</v>
      </c>
      <c r="E199" s="52" t="s">
        <v>1106</v>
      </c>
      <c r="F199" s="51" t="s">
        <v>1107</v>
      </c>
      <c r="G199" s="51" t="s">
        <v>288</v>
      </c>
      <c r="H199" s="51" t="s">
        <v>294</v>
      </c>
    </row>
    <row r="200" spans="1:8" ht="15.75" x14ac:dyDescent="0.25">
      <c r="A200" s="51" t="s">
        <v>678</v>
      </c>
      <c r="B200" s="51" t="s">
        <v>1108</v>
      </c>
      <c r="C200" s="51" t="s">
        <v>1077</v>
      </c>
      <c r="D200" s="51" t="s">
        <v>1109</v>
      </c>
      <c r="E200" s="52" t="s">
        <v>1110</v>
      </c>
      <c r="F200" s="51" t="s">
        <v>1111</v>
      </c>
      <c r="G200" s="51" t="s">
        <v>288</v>
      </c>
      <c r="H200" s="51" t="s">
        <v>294</v>
      </c>
    </row>
    <row r="201" spans="1:8" ht="15.75" x14ac:dyDescent="0.25">
      <c r="A201" s="51" t="s">
        <v>678</v>
      </c>
      <c r="B201" s="51" t="s">
        <v>1112</v>
      </c>
      <c r="C201" s="51" t="s">
        <v>1077</v>
      </c>
      <c r="D201" s="51" t="s">
        <v>1113</v>
      </c>
      <c r="E201" s="52" t="s">
        <v>1114</v>
      </c>
      <c r="F201" s="51" t="s">
        <v>1115</v>
      </c>
      <c r="G201" s="51" t="s">
        <v>288</v>
      </c>
      <c r="H201" s="51" t="s">
        <v>294</v>
      </c>
    </row>
    <row r="202" spans="1:8" ht="15.75" x14ac:dyDescent="0.25">
      <c r="A202" s="51" t="s">
        <v>678</v>
      </c>
      <c r="B202" s="51" t="s">
        <v>1063</v>
      </c>
      <c r="C202" s="51" t="s">
        <v>1077</v>
      </c>
      <c r="D202" s="51" t="s">
        <v>1116</v>
      </c>
      <c r="E202" s="52" t="s">
        <v>1065</v>
      </c>
      <c r="F202" s="51" t="s">
        <v>1117</v>
      </c>
      <c r="G202" s="51" t="s">
        <v>288</v>
      </c>
      <c r="H202" s="51" t="s">
        <v>1118</v>
      </c>
    </row>
    <row r="203" spans="1:8" ht="15.75" x14ac:dyDescent="0.25">
      <c r="A203" s="51" t="s">
        <v>678</v>
      </c>
      <c r="B203" s="51" t="s">
        <v>1119</v>
      </c>
      <c r="C203" s="51" t="s">
        <v>1077</v>
      </c>
      <c r="D203" s="51" t="s">
        <v>1120</v>
      </c>
      <c r="E203" s="52" t="s">
        <v>1121</v>
      </c>
      <c r="F203" s="51" t="s">
        <v>1122</v>
      </c>
      <c r="G203" s="51" t="s">
        <v>305</v>
      </c>
      <c r="H203" s="51" t="s">
        <v>1118</v>
      </c>
    </row>
    <row r="204" spans="1:8" ht="15.75" x14ac:dyDescent="0.25">
      <c r="A204" s="51" t="s">
        <v>678</v>
      </c>
      <c r="B204" s="51" t="s">
        <v>1123</v>
      </c>
      <c r="C204" s="51" t="s">
        <v>1124</v>
      </c>
      <c r="D204" s="51" t="s">
        <v>1125</v>
      </c>
      <c r="E204" s="52" t="s">
        <v>1126</v>
      </c>
      <c r="F204" s="51" t="s">
        <v>1127</v>
      </c>
      <c r="G204" s="51" t="s">
        <v>305</v>
      </c>
      <c r="H204" s="51" t="s">
        <v>1128</v>
      </c>
    </row>
    <row r="205" spans="1:8" ht="15.75" x14ac:dyDescent="0.25">
      <c r="A205" s="51" t="s">
        <v>678</v>
      </c>
      <c r="B205" s="51" t="s">
        <v>1129</v>
      </c>
      <c r="C205" s="51" t="s">
        <v>1077</v>
      </c>
      <c r="D205" s="51" t="s">
        <v>1130</v>
      </c>
      <c r="E205" s="52" t="s">
        <v>1131</v>
      </c>
      <c r="F205" s="51" t="s">
        <v>1132</v>
      </c>
      <c r="G205" s="51" t="s">
        <v>288</v>
      </c>
      <c r="H205" s="51" t="s">
        <v>1128</v>
      </c>
    </row>
    <row r="206" spans="1:8" ht="15.75" x14ac:dyDescent="0.25">
      <c r="A206" s="51" t="s">
        <v>678</v>
      </c>
      <c r="B206" s="51" t="s">
        <v>688</v>
      </c>
      <c r="C206" s="51" t="s">
        <v>1077</v>
      </c>
      <c r="D206" s="51" t="s">
        <v>1133</v>
      </c>
      <c r="E206" s="52" t="s">
        <v>689</v>
      </c>
      <c r="F206" s="51" t="s">
        <v>1134</v>
      </c>
      <c r="G206" s="51" t="s">
        <v>288</v>
      </c>
      <c r="H206" s="51" t="s">
        <v>294</v>
      </c>
    </row>
    <row r="207" spans="1:8" ht="15.75" x14ac:dyDescent="0.25">
      <c r="A207" s="51" t="s">
        <v>678</v>
      </c>
      <c r="B207" s="51" t="s">
        <v>1135</v>
      </c>
      <c r="C207" s="51" t="s">
        <v>1124</v>
      </c>
      <c r="D207" s="51" t="s">
        <v>1136</v>
      </c>
      <c r="E207" s="52" t="s">
        <v>1137</v>
      </c>
      <c r="F207" s="51" t="s">
        <v>1138</v>
      </c>
      <c r="G207" s="51" t="s">
        <v>288</v>
      </c>
      <c r="H207" s="51" t="s">
        <v>294</v>
      </c>
    </row>
    <row r="208" spans="1:8" ht="15.75" x14ac:dyDescent="0.25">
      <c r="A208" s="51" t="s">
        <v>678</v>
      </c>
      <c r="B208" s="51" t="s">
        <v>1139</v>
      </c>
      <c r="C208" s="51" t="s">
        <v>1124</v>
      </c>
      <c r="D208" s="51" t="s">
        <v>1140</v>
      </c>
      <c r="E208" s="52" t="s">
        <v>1141</v>
      </c>
      <c r="F208" s="51" t="s">
        <v>1142</v>
      </c>
      <c r="G208" s="51" t="s">
        <v>288</v>
      </c>
      <c r="H208" s="51" t="s">
        <v>1143</v>
      </c>
    </row>
    <row r="209" spans="1:8" ht="15.75" x14ac:dyDescent="0.25">
      <c r="A209" s="51" t="s">
        <v>678</v>
      </c>
      <c r="B209" s="51" t="s">
        <v>764</v>
      </c>
      <c r="C209" s="51" t="s">
        <v>1124</v>
      </c>
      <c r="D209" s="51" t="s">
        <v>1144</v>
      </c>
      <c r="E209" s="52" t="s">
        <v>766</v>
      </c>
      <c r="F209" s="51" t="s">
        <v>1145</v>
      </c>
      <c r="G209" s="51" t="s">
        <v>305</v>
      </c>
      <c r="H209" s="51" t="s">
        <v>1143</v>
      </c>
    </row>
    <row r="210" spans="1:8" ht="15.75" x14ac:dyDescent="0.25">
      <c r="A210" s="51" t="s">
        <v>678</v>
      </c>
      <c r="B210" s="51" t="s">
        <v>913</v>
      </c>
      <c r="C210" s="51" t="s">
        <v>1124</v>
      </c>
      <c r="D210" s="51" t="s">
        <v>1146</v>
      </c>
      <c r="E210" s="52" t="s">
        <v>915</v>
      </c>
      <c r="F210" s="51" t="s">
        <v>1147</v>
      </c>
      <c r="G210" s="51" t="s">
        <v>305</v>
      </c>
      <c r="H210" s="51" t="s">
        <v>1148</v>
      </c>
    </row>
    <row r="211" spans="1:8" ht="15.75" x14ac:dyDescent="0.25">
      <c r="A211" s="51" t="s">
        <v>678</v>
      </c>
      <c r="B211" s="51" t="s">
        <v>1149</v>
      </c>
      <c r="C211" s="51" t="s">
        <v>1124</v>
      </c>
      <c r="D211" s="51" t="s">
        <v>1150</v>
      </c>
      <c r="E211" s="52" t="s">
        <v>1151</v>
      </c>
      <c r="F211" s="51" t="s">
        <v>1152</v>
      </c>
      <c r="G211" s="51" t="s">
        <v>288</v>
      </c>
      <c r="H211" s="51" t="s">
        <v>1148</v>
      </c>
    </row>
    <row r="212" spans="1:8" ht="15.75" x14ac:dyDescent="0.25">
      <c r="A212" s="51" t="s">
        <v>678</v>
      </c>
      <c r="B212" s="51" t="s">
        <v>1153</v>
      </c>
      <c r="C212" s="51" t="s">
        <v>1124</v>
      </c>
      <c r="D212" s="51" t="s">
        <v>1154</v>
      </c>
      <c r="E212" s="52" t="s">
        <v>1155</v>
      </c>
      <c r="F212" s="51" t="s">
        <v>1156</v>
      </c>
      <c r="G212" s="51" t="s">
        <v>288</v>
      </c>
      <c r="H212" s="51" t="s">
        <v>294</v>
      </c>
    </row>
    <row r="213" spans="1:8" ht="15.75" x14ac:dyDescent="0.25">
      <c r="A213" s="51" t="s">
        <v>678</v>
      </c>
      <c r="B213" s="51" t="s">
        <v>683</v>
      </c>
      <c r="C213" s="51" t="s">
        <v>1124</v>
      </c>
      <c r="D213" s="51" t="s">
        <v>1157</v>
      </c>
      <c r="E213" s="52" t="s">
        <v>685</v>
      </c>
      <c r="F213" s="51" t="s">
        <v>1158</v>
      </c>
      <c r="G213" s="51" t="s">
        <v>288</v>
      </c>
      <c r="H213" s="51" t="s">
        <v>294</v>
      </c>
    </row>
    <row r="214" spans="1:8" ht="15.75" x14ac:dyDescent="0.25">
      <c r="A214" s="51" t="s">
        <v>678</v>
      </c>
      <c r="B214" s="51" t="s">
        <v>1159</v>
      </c>
      <c r="C214" s="51" t="s">
        <v>1124</v>
      </c>
      <c r="D214" s="51" t="s">
        <v>1160</v>
      </c>
      <c r="E214" s="52" t="s">
        <v>1161</v>
      </c>
      <c r="F214" s="51" t="s">
        <v>1162</v>
      </c>
      <c r="G214" s="51" t="s">
        <v>288</v>
      </c>
      <c r="H214" s="51" t="s">
        <v>294</v>
      </c>
    </row>
    <row r="215" spans="1:8" ht="15.75" x14ac:dyDescent="0.25">
      <c r="A215" s="51" t="s">
        <v>678</v>
      </c>
      <c r="B215" s="51" t="s">
        <v>1163</v>
      </c>
      <c r="C215" s="51" t="s">
        <v>1124</v>
      </c>
      <c r="D215" s="51" t="s">
        <v>1164</v>
      </c>
      <c r="E215" s="52" t="s">
        <v>1165</v>
      </c>
      <c r="F215" s="51" t="s">
        <v>1166</v>
      </c>
      <c r="G215" s="51" t="s">
        <v>288</v>
      </c>
      <c r="H215" s="51" t="s">
        <v>294</v>
      </c>
    </row>
    <row r="216" spans="1:8" ht="15.75" x14ac:dyDescent="0.25">
      <c r="A216" s="51" t="s">
        <v>678</v>
      </c>
      <c r="B216" s="51" t="s">
        <v>1167</v>
      </c>
      <c r="C216" s="51" t="s">
        <v>1124</v>
      </c>
      <c r="D216" s="51" t="s">
        <v>1168</v>
      </c>
      <c r="E216" s="52" t="s">
        <v>1169</v>
      </c>
      <c r="F216" s="51" t="s">
        <v>1170</v>
      </c>
      <c r="G216" s="51" t="s">
        <v>288</v>
      </c>
      <c r="H216" s="51" t="s">
        <v>1171</v>
      </c>
    </row>
    <row r="217" spans="1:8" ht="15.75" x14ac:dyDescent="0.25">
      <c r="A217" s="51" t="s">
        <v>678</v>
      </c>
      <c r="B217" s="51" t="s">
        <v>753</v>
      </c>
      <c r="C217" s="51" t="s">
        <v>1124</v>
      </c>
      <c r="D217" s="51" t="s">
        <v>1172</v>
      </c>
      <c r="E217" s="52" t="s">
        <v>754</v>
      </c>
      <c r="F217" s="51" t="s">
        <v>1173</v>
      </c>
      <c r="G217" s="51" t="s">
        <v>288</v>
      </c>
      <c r="H217" s="51" t="s">
        <v>294</v>
      </c>
    </row>
    <row r="218" spans="1:8" ht="15.75" x14ac:dyDescent="0.25">
      <c r="A218" s="51" t="s">
        <v>678</v>
      </c>
      <c r="B218" s="51" t="s">
        <v>749</v>
      </c>
      <c r="C218" s="51" t="s">
        <v>1124</v>
      </c>
      <c r="D218" s="51" t="s">
        <v>1174</v>
      </c>
      <c r="E218" s="52" t="s">
        <v>751</v>
      </c>
      <c r="F218" s="51" t="s">
        <v>1175</v>
      </c>
      <c r="G218" s="51" t="s">
        <v>288</v>
      </c>
      <c r="H218" s="51" t="s">
        <v>294</v>
      </c>
    </row>
    <row r="219" spans="1:8" ht="15.75" x14ac:dyDescent="0.25">
      <c r="A219" s="51" t="s">
        <v>678</v>
      </c>
      <c r="B219" s="51" t="s">
        <v>1176</v>
      </c>
      <c r="C219" s="51" t="s">
        <v>1124</v>
      </c>
      <c r="D219" s="51" t="s">
        <v>1177</v>
      </c>
      <c r="E219" s="52" t="s">
        <v>1178</v>
      </c>
      <c r="F219" s="51" t="s">
        <v>1179</v>
      </c>
      <c r="G219" s="51" t="s">
        <v>288</v>
      </c>
      <c r="H219" s="51" t="s">
        <v>1180</v>
      </c>
    </row>
    <row r="220" spans="1:8" ht="15.75" x14ac:dyDescent="0.25">
      <c r="A220" s="51" t="s">
        <v>678</v>
      </c>
      <c r="B220" s="51" t="s">
        <v>1181</v>
      </c>
      <c r="C220" s="51" t="s">
        <v>1182</v>
      </c>
      <c r="D220" s="51" t="s">
        <v>1183</v>
      </c>
      <c r="E220" s="52" t="s">
        <v>1184</v>
      </c>
      <c r="F220" s="51" t="s">
        <v>1185</v>
      </c>
      <c r="G220" s="51" t="s">
        <v>305</v>
      </c>
      <c r="H220" s="51" t="s">
        <v>1180</v>
      </c>
    </row>
    <row r="221" spans="1:8" ht="15.75" x14ac:dyDescent="0.25">
      <c r="A221" s="51" t="s">
        <v>678</v>
      </c>
      <c r="B221" s="51" t="s">
        <v>1186</v>
      </c>
      <c r="C221" s="51" t="s">
        <v>1182</v>
      </c>
      <c r="D221" s="51" t="s">
        <v>1187</v>
      </c>
      <c r="E221" s="52" t="s">
        <v>1188</v>
      </c>
      <c r="F221" s="51" t="s">
        <v>1189</v>
      </c>
      <c r="G221" s="51" t="s">
        <v>305</v>
      </c>
      <c r="H221" s="51" t="s">
        <v>1190</v>
      </c>
    </row>
    <row r="222" spans="1:8" ht="15.75" x14ac:dyDescent="0.25">
      <c r="A222" s="51" t="s">
        <v>600</v>
      </c>
      <c r="B222" s="51" t="s">
        <v>1191</v>
      </c>
      <c r="C222" s="51" t="s">
        <v>1182</v>
      </c>
      <c r="D222" s="51" t="s">
        <v>1192</v>
      </c>
      <c r="E222" s="52" t="s">
        <v>1193</v>
      </c>
      <c r="F222" s="51" t="s">
        <v>1194</v>
      </c>
      <c r="G222" s="51" t="s">
        <v>288</v>
      </c>
      <c r="H222" s="51" t="s">
        <v>1190</v>
      </c>
    </row>
    <row r="223" spans="1:8" ht="15.75" x14ac:dyDescent="0.25">
      <c r="A223" s="51" t="s">
        <v>600</v>
      </c>
      <c r="B223" s="51" t="s">
        <v>1195</v>
      </c>
      <c r="C223" s="51" t="s">
        <v>1182</v>
      </c>
      <c r="D223" s="51" t="s">
        <v>1196</v>
      </c>
      <c r="E223" s="52" t="s">
        <v>1197</v>
      </c>
      <c r="F223" s="51" t="s">
        <v>1198</v>
      </c>
      <c r="G223" s="51" t="s">
        <v>288</v>
      </c>
      <c r="H223" s="51" t="s">
        <v>294</v>
      </c>
    </row>
    <row r="224" spans="1:8" ht="15.75" x14ac:dyDescent="0.25">
      <c r="A224" s="51" t="s">
        <v>678</v>
      </c>
      <c r="B224" s="51" t="s">
        <v>688</v>
      </c>
      <c r="C224" s="51" t="s">
        <v>1182</v>
      </c>
      <c r="D224" s="51" t="s">
        <v>1199</v>
      </c>
      <c r="E224" s="52" t="s">
        <v>689</v>
      </c>
      <c r="F224" s="51" t="s">
        <v>1200</v>
      </c>
      <c r="G224" s="51" t="s">
        <v>288</v>
      </c>
      <c r="H224" s="51" t="s">
        <v>294</v>
      </c>
    </row>
    <row r="225" spans="1:8" ht="15.75" x14ac:dyDescent="0.25">
      <c r="A225" s="51" t="s">
        <v>678</v>
      </c>
      <c r="B225" s="51" t="s">
        <v>1201</v>
      </c>
      <c r="C225" s="51" t="s">
        <v>1182</v>
      </c>
      <c r="D225" s="51" t="s">
        <v>1202</v>
      </c>
      <c r="E225" s="52" t="s">
        <v>1203</v>
      </c>
      <c r="F225" s="51" t="s">
        <v>1204</v>
      </c>
      <c r="G225" s="51" t="s">
        <v>288</v>
      </c>
      <c r="H225" s="51" t="s">
        <v>294</v>
      </c>
    </row>
    <row r="226" spans="1:8" ht="15.75" x14ac:dyDescent="0.25">
      <c r="A226" s="51" t="s">
        <v>678</v>
      </c>
      <c r="B226" s="51" t="s">
        <v>1205</v>
      </c>
      <c r="C226" s="51" t="s">
        <v>1182</v>
      </c>
      <c r="D226" s="51" t="s">
        <v>1206</v>
      </c>
      <c r="E226" s="52" t="s">
        <v>1207</v>
      </c>
      <c r="F226" s="51" t="s">
        <v>1208</v>
      </c>
      <c r="G226" s="51" t="s">
        <v>288</v>
      </c>
      <c r="H226" s="51" t="s">
        <v>1209</v>
      </c>
    </row>
    <row r="227" spans="1:8" ht="15.75" x14ac:dyDescent="0.25">
      <c r="A227" s="51" t="s">
        <v>678</v>
      </c>
      <c r="B227" s="51" t="s">
        <v>1210</v>
      </c>
      <c r="C227" s="51" t="s">
        <v>1182</v>
      </c>
      <c r="D227" s="51" t="s">
        <v>1211</v>
      </c>
      <c r="E227" s="52" t="s">
        <v>1212</v>
      </c>
      <c r="F227" s="51" t="s">
        <v>1213</v>
      </c>
      <c r="G227" s="51" t="s">
        <v>305</v>
      </c>
      <c r="H227" s="51" t="s">
        <v>1209</v>
      </c>
    </row>
    <row r="228" spans="1:8" ht="15.75" x14ac:dyDescent="0.25">
      <c r="A228" s="51" t="s">
        <v>678</v>
      </c>
      <c r="B228" s="51" t="s">
        <v>1214</v>
      </c>
      <c r="C228" s="51" t="s">
        <v>1182</v>
      </c>
      <c r="D228" s="51" t="s">
        <v>426</v>
      </c>
      <c r="E228" s="52" t="s">
        <v>1215</v>
      </c>
      <c r="F228" s="51" t="s">
        <v>1216</v>
      </c>
      <c r="G228" s="51" t="s">
        <v>305</v>
      </c>
      <c r="H228" s="51" t="s">
        <v>1217</v>
      </c>
    </row>
    <row r="229" spans="1:8" ht="15.75" x14ac:dyDescent="0.25">
      <c r="A229" s="51" t="s">
        <v>600</v>
      </c>
      <c r="B229" s="51" t="s">
        <v>1218</v>
      </c>
      <c r="C229" s="51" t="s">
        <v>1182</v>
      </c>
      <c r="D229" s="51" t="s">
        <v>1219</v>
      </c>
      <c r="E229" s="52" t="s">
        <v>1220</v>
      </c>
      <c r="F229" s="51" t="s">
        <v>1221</v>
      </c>
      <c r="G229" s="51" t="s">
        <v>288</v>
      </c>
      <c r="H229" s="51" t="s">
        <v>1217</v>
      </c>
    </row>
    <row r="230" spans="1:8" ht="15.75" x14ac:dyDescent="0.25">
      <c r="A230" s="51" t="s">
        <v>600</v>
      </c>
      <c r="B230" s="51" t="s">
        <v>1222</v>
      </c>
      <c r="C230" s="51" t="s">
        <v>1182</v>
      </c>
      <c r="D230" s="51" t="s">
        <v>1223</v>
      </c>
      <c r="E230" s="52" t="s">
        <v>1224</v>
      </c>
      <c r="F230" s="51" t="s">
        <v>1225</v>
      </c>
      <c r="G230" s="51" t="s">
        <v>288</v>
      </c>
      <c r="H230" s="51" t="s">
        <v>294</v>
      </c>
    </row>
    <row r="231" spans="1:8" ht="15.75" x14ac:dyDescent="0.25">
      <c r="A231" s="51" t="s">
        <v>600</v>
      </c>
      <c r="B231" s="51" t="s">
        <v>1226</v>
      </c>
      <c r="C231" s="51" t="s">
        <v>1227</v>
      </c>
      <c r="D231" s="51" t="s">
        <v>444</v>
      </c>
      <c r="E231" s="52" t="s">
        <v>1228</v>
      </c>
      <c r="F231" s="51" t="s">
        <v>1229</v>
      </c>
      <c r="G231" s="51" t="s">
        <v>288</v>
      </c>
      <c r="H231" s="51" t="s">
        <v>1230</v>
      </c>
    </row>
    <row r="232" spans="1:8" ht="15.75" x14ac:dyDescent="0.25">
      <c r="A232" s="51" t="s">
        <v>678</v>
      </c>
      <c r="B232" s="51" t="s">
        <v>1231</v>
      </c>
      <c r="C232" s="51" t="s">
        <v>1227</v>
      </c>
      <c r="D232" s="51" t="s">
        <v>1232</v>
      </c>
      <c r="E232" s="52" t="s">
        <v>1233</v>
      </c>
      <c r="F232" s="51" t="s">
        <v>1234</v>
      </c>
      <c r="G232" s="51" t="s">
        <v>305</v>
      </c>
      <c r="H232" s="51" t="s">
        <v>1230</v>
      </c>
    </row>
    <row r="233" spans="1:8" ht="15.75" x14ac:dyDescent="0.25">
      <c r="A233" s="51" t="s">
        <v>678</v>
      </c>
      <c r="B233" s="51" t="s">
        <v>1235</v>
      </c>
      <c r="C233" s="51" t="s">
        <v>1227</v>
      </c>
      <c r="D233" s="51" t="s">
        <v>1236</v>
      </c>
      <c r="E233" s="52" t="s">
        <v>1237</v>
      </c>
      <c r="F233" s="51" t="s">
        <v>1238</v>
      </c>
      <c r="G233" s="51" t="s">
        <v>305</v>
      </c>
      <c r="H233" s="51" t="s">
        <v>1239</v>
      </c>
    </row>
    <row r="234" spans="1:8" ht="15.75" x14ac:dyDescent="0.25">
      <c r="A234" s="51" t="s">
        <v>600</v>
      </c>
      <c r="B234" s="51" t="s">
        <v>1240</v>
      </c>
      <c r="C234" s="51" t="s">
        <v>1227</v>
      </c>
      <c r="D234" s="51" t="s">
        <v>1241</v>
      </c>
      <c r="E234" s="52" t="s">
        <v>1242</v>
      </c>
      <c r="F234" s="51" t="s">
        <v>1243</v>
      </c>
      <c r="G234" s="51" t="s">
        <v>288</v>
      </c>
      <c r="H234" s="51" t="s">
        <v>1239</v>
      </c>
    </row>
    <row r="235" spans="1:8" ht="15.75" x14ac:dyDescent="0.25">
      <c r="A235" s="51" t="s">
        <v>600</v>
      </c>
      <c r="B235" s="51" t="s">
        <v>1244</v>
      </c>
      <c r="C235" s="51" t="s">
        <v>1227</v>
      </c>
      <c r="D235" s="51" t="s">
        <v>1245</v>
      </c>
      <c r="E235" s="52" t="s">
        <v>1246</v>
      </c>
      <c r="F235" s="51" t="s">
        <v>1247</v>
      </c>
      <c r="G235" s="51" t="s">
        <v>288</v>
      </c>
      <c r="H235" s="51" t="s">
        <v>294</v>
      </c>
    </row>
    <row r="236" spans="1:8" ht="15.75" x14ac:dyDescent="0.25">
      <c r="A236" s="51" t="s">
        <v>600</v>
      </c>
      <c r="B236" s="51" t="s">
        <v>669</v>
      </c>
      <c r="C236" s="51" t="s">
        <v>1227</v>
      </c>
      <c r="D236" s="51" t="s">
        <v>1248</v>
      </c>
      <c r="E236" s="52" t="s">
        <v>671</v>
      </c>
      <c r="F236" s="51" t="s">
        <v>1249</v>
      </c>
      <c r="G236" s="51" t="s">
        <v>288</v>
      </c>
      <c r="H236" s="51" t="s">
        <v>1250</v>
      </c>
    </row>
    <row r="237" spans="1:8" ht="15.75" x14ac:dyDescent="0.25">
      <c r="A237" s="51" t="s">
        <v>678</v>
      </c>
      <c r="B237" s="51" t="s">
        <v>753</v>
      </c>
      <c r="C237" s="51" t="s">
        <v>1227</v>
      </c>
      <c r="D237" s="51" t="s">
        <v>1251</v>
      </c>
      <c r="E237" s="52" t="s">
        <v>754</v>
      </c>
      <c r="F237" s="51" t="s">
        <v>1252</v>
      </c>
      <c r="G237" s="51" t="s">
        <v>305</v>
      </c>
      <c r="H237" s="51" t="s">
        <v>1250</v>
      </c>
    </row>
    <row r="238" spans="1:8" ht="15.75" x14ac:dyDescent="0.25">
      <c r="A238" s="51" t="s">
        <v>678</v>
      </c>
      <c r="B238" s="51" t="s">
        <v>1253</v>
      </c>
      <c r="C238" s="51" t="s">
        <v>1227</v>
      </c>
      <c r="D238" s="51" t="s">
        <v>1254</v>
      </c>
      <c r="E238" s="52" t="s">
        <v>1255</v>
      </c>
      <c r="F238" s="51" t="s">
        <v>1256</v>
      </c>
      <c r="G238" s="51" t="s">
        <v>305</v>
      </c>
      <c r="H238" s="51" t="s">
        <v>1257</v>
      </c>
    </row>
    <row r="239" spans="1:8" ht="15.75" x14ac:dyDescent="0.25">
      <c r="A239" s="51" t="s">
        <v>600</v>
      </c>
      <c r="B239" s="51" t="s">
        <v>1258</v>
      </c>
      <c r="C239" s="51" t="s">
        <v>1227</v>
      </c>
      <c r="D239" s="51" t="s">
        <v>1259</v>
      </c>
      <c r="E239" s="52" t="s">
        <v>1260</v>
      </c>
      <c r="F239" s="51" t="s">
        <v>1261</v>
      </c>
      <c r="G239" s="51" t="s">
        <v>288</v>
      </c>
      <c r="H239" s="51" t="s">
        <v>1257</v>
      </c>
    </row>
    <row r="240" spans="1:8" ht="15.75" x14ac:dyDescent="0.25">
      <c r="A240" s="51" t="s">
        <v>600</v>
      </c>
      <c r="B240" s="51" t="s">
        <v>1262</v>
      </c>
      <c r="C240" s="51" t="s">
        <v>1227</v>
      </c>
      <c r="D240" s="51" t="s">
        <v>1263</v>
      </c>
      <c r="E240" s="52" t="s">
        <v>1264</v>
      </c>
      <c r="F240" s="51" t="s">
        <v>1265</v>
      </c>
      <c r="G240" s="51" t="s">
        <v>288</v>
      </c>
      <c r="H240" s="51" t="s">
        <v>1266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8"/>
  <sheetViews>
    <sheetView workbookViewId="0">
      <selection activeCell="A2" sqref="A2"/>
    </sheetView>
  </sheetViews>
  <sheetFormatPr defaultRowHeight="15" x14ac:dyDescent="0.25"/>
  <cols>
    <col min="2" max="2" width="9.85546875" bestFit="1" customWidth="1"/>
    <col min="5" max="5" width="9.85546875" bestFit="1" customWidth="1"/>
    <col min="8" max="8" width="9.85546875" bestFit="1" customWidth="1"/>
    <col min="11" max="11" width="9.85546875" bestFit="1" customWidth="1"/>
  </cols>
  <sheetData>
    <row r="1" spans="1:12" x14ac:dyDescent="0.25">
      <c r="A1" s="53" t="s">
        <v>1267</v>
      </c>
      <c r="B1" s="54" t="s">
        <v>1268</v>
      </c>
      <c r="C1" s="53" t="s">
        <v>1269</v>
      </c>
      <c r="D1" s="55" t="s">
        <v>1267</v>
      </c>
      <c r="E1" s="54" t="s">
        <v>1268</v>
      </c>
      <c r="F1" s="53" t="s">
        <v>1269</v>
      </c>
      <c r="G1" s="56" t="s">
        <v>1267</v>
      </c>
      <c r="H1" s="54" t="s">
        <v>1268</v>
      </c>
      <c r="I1" s="53" t="s">
        <v>1269</v>
      </c>
      <c r="J1" s="54" t="s">
        <v>1267</v>
      </c>
      <c r="K1" s="53" t="s">
        <v>1268</v>
      </c>
      <c r="L1" s="56" t="s">
        <v>1269</v>
      </c>
    </row>
    <row r="2" spans="1:12" x14ac:dyDescent="0.25">
      <c r="A2" s="57" t="s">
        <v>1270</v>
      </c>
      <c r="B2" s="55">
        <v>1</v>
      </c>
      <c r="C2" s="58">
        <v>7</v>
      </c>
      <c r="D2" s="57" t="s">
        <v>1271</v>
      </c>
      <c r="E2" s="55">
        <v>28</v>
      </c>
      <c r="F2" s="58">
        <v>9</v>
      </c>
      <c r="G2" s="59" t="s">
        <v>91</v>
      </c>
      <c r="H2" s="55">
        <v>51</v>
      </c>
      <c r="I2" s="58">
        <v>4</v>
      </c>
      <c r="J2" s="59" t="s">
        <v>215</v>
      </c>
      <c r="K2" s="60">
        <v>73</v>
      </c>
      <c r="L2" s="53">
        <v>1</v>
      </c>
    </row>
    <row r="3" spans="1:12" x14ac:dyDescent="0.25">
      <c r="A3" s="61"/>
      <c r="B3" s="55">
        <v>2</v>
      </c>
      <c r="C3" s="62">
        <v>5</v>
      </c>
      <c r="D3" s="61"/>
      <c r="E3" s="55">
        <v>29</v>
      </c>
      <c r="F3" s="62">
        <v>1</v>
      </c>
      <c r="G3" s="61"/>
      <c r="H3" s="55">
        <v>52</v>
      </c>
      <c r="I3" s="62">
        <v>6</v>
      </c>
      <c r="J3" s="61"/>
      <c r="K3" s="55">
        <v>74</v>
      </c>
      <c r="L3" s="53">
        <v>2</v>
      </c>
    </row>
    <row r="4" spans="1:12" x14ac:dyDescent="0.25">
      <c r="A4" s="61"/>
      <c r="B4" s="55">
        <v>3</v>
      </c>
      <c r="C4" s="62">
        <v>1</v>
      </c>
      <c r="D4" s="61"/>
      <c r="E4" s="55">
        <v>30</v>
      </c>
      <c r="F4" s="62">
        <v>11</v>
      </c>
      <c r="G4" s="61"/>
      <c r="H4" s="55">
        <v>53</v>
      </c>
      <c r="I4" s="62">
        <v>5</v>
      </c>
      <c r="J4" s="61"/>
      <c r="K4" s="55">
        <v>75</v>
      </c>
      <c r="L4" s="53">
        <v>8</v>
      </c>
    </row>
    <row r="5" spans="1:12" x14ac:dyDescent="0.25">
      <c r="A5" s="61"/>
      <c r="B5" s="55">
        <v>4</v>
      </c>
      <c r="C5" s="62">
        <v>3</v>
      </c>
      <c r="D5" s="61"/>
      <c r="E5" s="55">
        <v>31</v>
      </c>
      <c r="F5" s="62">
        <v>5</v>
      </c>
      <c r="G5" s="61"/>
      <c r="H5" s="55">
        <v>54</v>
      </c>
      <c r="I5" s="62">
        <v>1</v>
      </c>
      <c r="J5" s="61"/>
      <c r="K5" s="55">
        <v>76</v>
      </c>
      <c r="L5" s="53">
        <v>4</v>
      </c>
    </row>
    <row r="6" spans="1:12" x14ac:dyDescent="0.25">
      <c r="A6" s="61"/>
      <c r="B6" s="55">
        <v>5</v>
      </c>
      <c r="C6" s="62">
        <v>6</v>
      </c>
      <c r="D6" s="61"/>
      <c r="E6" s="55">
        <v>32</v>
      </c>
      <c r="F6" s="62">
        <v>2</v>
      </c>
      <c r="G6" s="61"/>
      <c r="H6" s="55">
        <v>55</v>
      </c>
      <c r="I6" s="62">
        <v>2</v>
      </c>
      <c r="J6" s="61"/>
      <c r="K6" s="55">
        <v>77</v>
      </c>
      <c r="L6" s="53">
        <v>5</v>
      </c>
    </row>
    <row r="7" spans="1:12" x14ac:dyDescent="0.25">
      <c r="A7" s="61"/>
      <c r="B7" s="55">
        <v>6</v>
      </c>
      <c r="C7" s="62">
        <v>10</v>
      </c>
      <c r="D7" s="61"/>
      <c r="E7" s="55">
        <v>33</v>
      </c>
      <c r="F7" s="62">
        <v>4</v>
      </c>
      <c r="G7" s="63"/>
      <c r="H7" s="55">
        <v>56</v>
      </c>
      <c r="I7" s="62">
        <v>3</v>
      </c>
      <c r="J7" s="61"/>
      <c r="K7" s="55">
        <v>78</v>
      </c>
      <c r="L7" s="53">
        <v>3</v>
      </c>
    </row>
    <row r="8" spans="1:12" x14ac:dyDescent="0.25">
      <c r="A8" s="61"/>
      <c r="B8" s="55">
        <v>7</v>
      </c>
      <c r="C8" s="62">
        <v>2</v>
      </c>
      <c r="D8" s="61"/>
      <c r="E8" s="55">
        <v>34</v>
      </c>
      <c r="F8" s="62">
        <v>3</v>
      </c>
      <c r="G8" s="57" t="s">
        <v>1272</v>
      </c>
      <c r="H8" s="55">
        <v>57</v>
      </c>
      <c r="I8" s="62">
        <v>5</v>
      </c>
      <c r="J8" s="61"/>
      <c r="K8" s="55">
        <v>79</v>
      </c>
      <c r="L8" s="53">
        <v>6</v>
      </c>
    </row>
    <row r="9" spans="1:12" x14ac:dyDescent="0.25">
      <c r="A9" s="61"/>
      <c r="B9" s="55">
        <v>8</v>
      </c>
      <c r="C9" s="62">
        <v>4</v>
      </c>
      <c r="D9" s="61"/>
      <c r="E9" s="55">
        <v>35</v>
      </c>
      <c r="F9" s="62">
        <v>10</v>
      </c>
      <c r="G9" s="61"/>
      <c r="H9" s="55">
        <v>58</v>
      </c>
      <c r="I9" s="62">
        <v>6</v>
      </c>
      <c r="J9" s="63"/>
      <c r="K9" s="55">
        <v>80</v>
      </c>
      <c r="L9" s="53">
        <v>7</v>
      </c>
    </row>
    <row r="10" spans="1:12" x14ac:dyDescent="0.25">
      <c r="A10" s="61"/>
      <c r="B10" s="55">
        <v>9</v>
      </c>
      <c r="C10" s="62">
        <v>8</v>
      </c>
      <c r="D10" s="61"/>
      <c r="E10" s="55">
        <v>36</v>
      </c>
      <c r="F10" s="62">
        <v>8</v>
      </c>
      <c r="G10" s="61"/>
      <c r="H10" s="55">
        <v>59</v>
      </c>
      <c r="I10" s="53">
        <v>1</v>
      </c>
      <c r="J10" s="22"/>
      <c r="K10" s="22"/>
      <c r="L10" s="64"/>
    </row>
    <row r="11" spans="1:12" x14ac:dyDescent="0.25">
      <c r="A11" s="63"/>
      <c r="B11" s="55">
        <v>10</v>
      </c>
      <c r="C11" s="62">
        <v>9</v>
      </c>
      <c r="D11" s="61"/>
      <c r="E11" s="55">
        <v>37</v>
      </c>
      <c r="F11" s="62">
        <v>7</v>
      </c>
      <c r="G11" s="61"/>
      <c r="H11" s="55">
        <v>60</v>
      </c>
      <c r="I11" s="53">
        <v>4</v>
      </c>
      <c r="J11" s="22"/>
      <c r="K11" s="22"/>
      <c r="L11" s="64"/>
    </row>
    <row r="12" spans="1:12" x14ac:dyDescent="0.25">
      <c r="A12" s="57" t="s">
        <v>1273</v>
      </c>
      <c r="B12" s="55">
        <v>11</v>
      </c>
      <c r="C12" s="62">
        <v>4</v>
      </c>
      <c r="D12" s="61"/>
      <c r="E12" s="55">
        <v>38</v>
      </c>
      <c r="F12" s="62">
        <v>6</v>
      </c>
      <c r="G12" s="61"/>
      <c r="H12" s="55">
        <v>61</v>
      </c>
      <c r="I12" s="53">
        <v>3</v>
      </c>
      <c r="J12" s="22"/>
      <c r="K12" s="22"/>
      <c r="L12" s="64"/>
    </row>
    <row r="13" spans="1:12" x14ac:dyDescent="0.25">
      <c r="A13" s="61"/>
      <c r="B13" s="55">
        <v>12</v>
      </c>
      <c r="C13" s="62">
        <v>9</v>
      </c>
      <c r="D13" s="59" t="s">
        <v>1274</v>
      </c>
      <c r="E13" s="55">
        <v>39</v>
      </c>
      <c r="F13" s="62">
        <v>4</v>
      </c>
      <c r="G13" s="63"/>
      <c r="H13" s="55">
        <v>62</v>
      </c>
      <c r="I13" s="53">
        <v>2</v>
      </c>
      <c r="J13" s="22"/>
      <c r="K13" s="22"/>
      <c r="L13" s="64"/>
    </row>
    <row r="14" spans="1:12" x14ac:dyDescent="0.25">
      <c r="A14" s="61"/>
      <c r="B14" s="55">
        <v>13</v>
      </c>
      <c r="C14" s="62">
        <v>3</v>
      </c>
      <c r="D14" s="61"/>
      <c r="E14" s="55">
        <v>40</v>
      </c>
      <c r="F14" s="62">
        <v>8</v>
      </c>
      <c r="G14" s="57" t="s">
        <v>1275</v>
      </c>
      <c r="H14" s="55">
        <v>63</v>
      </c>
      <c r="I14" s="53">
        <v>5</v>
      </c>
      <c r="J14" s="22"/>
      <c r="K14" s="22"/>
      <c r="L14" s="64"/>
    </row>
    <row r="15" spans="1:12" x14ac:dyDescent="0.25">
      <c r="A15" s="61"/>
      <c r="B15" s="55">
        <v>14</v>
      </c>
      <c r="C15" s="62">
        <v>5</v>
      </c>
      <c r="D15" s="61"/>
      <c r="E15" s="55">
        <v>41</v>
      </c>
      <c r="F15" s="62">
        <v>12</v>
      </c>
      <c r="G15" s="61"/>
      <c r="H15" s="55">
        <v>64</v>
      </c>
      <c r="I15" s="53">
        <v>9</v>
      </c>
      <c r="J15" s="22"/>
      <c r="K15" s="22"/>
      <c r="L15" s="64"/>
    </row>
    <row r="16" spans="1:12" x14ac:dyDescent="0.25">
      <c r="A16" s="61"/>
      <c r="B16" s="55">
        <v>15</v>
      </c>
      <c r="C16" s="62">
        <v>1</v>
      </c>
      <c r="D16" s="61"/>
      <c r="E16" s="55">
        <v>42</v>
      </c>
      <c r="F16" s="62">
        <v>10</v>
      </c>
      <c r="G16" s="61"/>
      <c r="H16" s="55">
        <v>65</v>
      </c>
      <c r="I16" s="53">
        <v>4</v>
      </c>
      <c r="J16" s="22"/>
      <c r="K16" s="22"/>
      <c r="L16" s="64"/>
    </row>
    <row r="17" spans="1:12" x14ac:dyDescent="0.25">
      <c r="A17" s="61"/>
      <c r="B17" s="55">
        <v>16</v>
      </c>
      <c r="C17" s="62">
        <v>6</v>
      </c>
      <c r="D17" s="61"/>
      <c r="E17" s="55">
        <v>43</v>
      </c>
      <c r="F17" s="62">
        <v>7</v>
      </c>
      <c r="G17" s="61"/>
      <c r="H17" s="55">
        <v>66</v>
      </c>
      <c r="I17" s="53">
        <v>2</v>
      </c>
      <c r="J17" s="22"/>
      <c r="K17" s="22"/>
      <c r="L17" s="64"/>
    </row>
    <row r="18" spans="1:12" x14ac:dyDescent="0.25">
      <c r="A18" s="61"/>
      <c r="B18" s="55">
        <v>17</v>
      </c>
      <c r="C18" s="62">
        <v>7</v>
      </c>
      <c r="D18" s="61"/>
      <c r="E18" s="55">
        <v>44</v>
      </c>
      <c r="F18" s="62">
        <v>9</v>
      </c>
      <c r="G18" s="61"/>
      <c r="H18" s="55">
        <v>67</v>
      </c>
      <c r="I18" s="53">
        <v>7</v>
      </c>
      <c r="J18" s="22"/>
      <c r="K18" s="22"/>
      <c r="L18" s="64"/>
    </row>
    <row r="19" spans="1:12" x14ac:dyDescent="0.25">
      <c r="A19" s="61"/>
      <c r="B19" s="55">
        <v>18</v>
      </c>
      <c r="C19" s="62">
        <v>8</v>
      </c>
      <c r="D19" s="61"/>
      <c r="E19" s="55">
        <v>45</v>
      </c>
      <c r="F19" s="62">
        <v>6</v>
      </c>
      <c r="G19" s="61"/>
      <c r="H19" s="55">
        <v>68</v>
      </c>
      <c r="I19" s="53">
        <v>1</v>
      </c>
      <c r="J19" s="22"/>
      <c r="K19" s="22"/>
      <c r="L19" s="64"/>
    </row>
    <row r="20" spans="1:12" x14ac:dyDescent="0.25">
      <c r="A20" s="61"/>
      <c r="B20" s="55">
        <v>19</v>
      </c>
      <c r="C20" s="62">
        <v>10</v>
      </c>
      <c r="D20" s="61"/>
      <c r="E20" s="55">
        <v>46</v>
      </c>
      <c r="F20" s="62">
        <v>5</v>
      </c>
      <c r="G20" s="61"/>
      <c r="H20" s="55">
        <v>69</v>
      </c>
      <c r="I20" s="53">
        <v>6</v>
      </c>
      <c r="J20" s="22"/>
      <c r="K20" s="22"/>
      <c r="L20" s="64"/>
    </row>
    <row r="21" spans="1:12" x14ac:dyDescent="0.25">
      <c r="A21" s="63"/>
      <c r="B21" s="55">
        <v>20</v>
      </c>
      <c r="C21" s="62">
        <v>2</v>
      </c>
      <c r="D21" s="61"/>
      <c r="E21" s="55">
        <v>47</v>
      </c>
      <c r="F21" s="62">
        <v>11</v>
      </c>
      <c r="G21" s="61"/>
      <c r="H21" s="56">
        <v>70</v>
      </c>
      <c r="I21" s="53">
        <v>8</v>
      </c>
      <c r="J21" s="22"/>
      <c r="K21" s="22"/>
      <c r="L21" s="64"/>
    </row>
    <row r="22" spans="1:12" x14ac:dyDescent="0.25">
      <c r="A22" s="57" t="s">
        <v>1276</v>
      </c>
      <c r="B22" s="55">
        <v>21</v>
      </c>
      <c r="C22" s="62">
        <v>4</v>
      </c>
      <c r="D22" s="61"/>
      <c r="E22" s="55">
        <v>48</v>
      </c>
      <c r="F22" s="62">
        <v>3</v>
      </c>
      <c r="G22" s="61"/>
      <c r="H22" s="55">
        <v>71</v>
      </c>
      <c r="I22" s="55">
        <v>3</v>
      </c>
      <c r="J22" s="22"/>
      <c r="K22" s="22"/>
      <c r="L22" s="64"/>
    </row>
    <row r="23" spans="1:12" x14ac:dyDescent="0.25">
      <c r="A23" s="61"/>
      <c r="B23" s="55">
        <v>22</v>
      </c>
      <c r="C23" s="62">
        <v>6</v>
      </c>
      <c r="D23" s="61"/>
      <c r="E23" s="55">
        <v>49</v>
      </c>
      <c r="F23" s="62">
        <v>2</v>
      </c>
      <c r="G23" s="63"/>
      <c r="H23" s="60">
        <v>72</v>
      </c>
      <c r="I23" s="53">
        <v>10</v>
      </c>
      <c r="J23" s="22"/>
      <c r="K23" s="22"/>
      <c r="L23" s="64"/>
    </row>
    <row r="24" spans="1:12" x14ac:dyDescent="0.25">
      <c r="A24" s="61"/>
      <c r="B24" s="55">
        <v>23</v>
      </c>
      <c r="C24" s="62">
        <v>2</v>
      </c>
      <c r="D24" s="63"/>
      <c r="E24" s="55">
        <v>50</v>
      </c>
      <c r="F24" s="53">
        <v>1</v>
      </c>
      <c r="G24" s="22"/>
      <c r="H24" s="22"/>
      <c r="I24" s="22"/>
      <c r="J24" s="22"/>
      <c r="K24" s="22"/>
      <c r="L24" s="64"/>
    </row>
    <row r="25" spans="1:12" x14ac:dyDescent="0.25">
      <c r="A25" s="61"/>
      <c r="B25" s="55">
        <v>24</v>
      </c>
      <c r="C25" s="53">
        <v>5</v>
      </c>
      <c r="D25" s="22"/>
      <c r="E25" s="22"/>
      <c r="F25" s="22"/>
      <c r="G25" s="22"/>
      <c r="H25" s="22"/>
      <c r="I25" s="22"/>
      <c r="J25" s="22"/>
      <c r="K25" s="22"/>
      <c r="L25" s="64"/>
    </row>
    <row r="26" spans="1:12" x14ac:dyDescent="0.25">
      <c r="A26" s="61"/>
      <c r="B26" s="55">
        <v>25</v>
      </c>
      <c r="C26" s="53">
        <v>1</v>
      </c>
      <c r="D26" s="22"/>
      <c r="E26" s="22"/>
      <c r="F26" s="22"/>
      <c r="G26" s="22"/>
      <c r="H26" s="22"/>
      <c r="I26" s="22"/>
      <c r="J26" s="22"/>
      <c r="K26" s="22"/>
      <c r="L26" s="64"/>
    </row>
    <row r="27" spans="1:12" x14ac:dyDescent="0.25">
      <c r="A27" s="61"/>
      <c r="B27" s="55">
        <v>26</v>
      </c>
      <c r="C27" s="53">
        <v>7</v>
      </c>
      <c r="D27" s="22"/>
      <c r="E27" s="22"/>
      <c r="F27" s="22"/>
      <c r="G27" s="22"/>
      <c r="H27" s="22"/>
      <c r="I27" s="22"/>
      <c r="J27" s="22"/>
      <c r="K27" s="22"/>
      <c r="L27" s="64"/>
    </row>
    <row r="28" spans="1:12" x14ac:dyDescent="0.25">
      <c r="A28" s="63"/>
      <c r="B28" s="55">
        <v>27</v>
      </c>
      <c r="C28" s="53">
        <v>3</v>
      </c>
      <c r="D28" s="65"/>
      <c r="E28" s="65"/>
      <c r="F28" s="65"/>
      <c r="G28" s="65"/>
      <c r="H28" s="65"/>
      <c r="I28" s="65"/>
      <c r="J28" s="65"/>
      <c r="K28" s="65"/>
      <c r="L28" s="6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0"/>
  <sheetViews>
    <sheetView workbookViewId="0">
      <selection activeCell="A2" sqref="A2"/>
    </sheetView>
  </sheetViews>
  <sheetFormatPr defaultColWidth="8.85546875" defaultRowHeight="15" x14ac:dyDescent="0.25"/>
  <cols>
    <col min="1" max="1" width="36.140625" bestFit="1" customWidth="1"/>
  </cols>
  <sheetData>
    <row r="1" spans="1:2" ht="15.75" thickBot="1" x14ac:dyDescent="0.3">
      <c r="A1" s="8" t="s">
        <v>1290</v>
      </c>
      <c r="B1" s="8" t="s">
        <v>1291</v>
      </c>
    </row>
    <row r="2" spans="1:2" x14ac:dyDescent="0.25">
      <c r="A2" s="9" t="s">
        <v>1292</v>
      </c>
      <c r="B2" s="9" t="s">
        <v>1293</v>
      </c>
    </row>
    <row r="3" spans="1:2" x14ac:dyDescent="0.25">
      <c r="A3" s="9" t="s">
        <v>1294</v>
      </c>
      <c r="B3" s="9" t="s">
        <v>1293</v>
      </c>
    </row>
    <row r="4" spans="1:2" x14ac:dyDescent="0.25">
      <c r="A4" s="9" t="s">
        <v>1295</v>
      </c>
      <c r="B4" s="9" t="s">
        <v>1293</v>
      </c>
    </row>
    <row r="5" spans="1:2" x14ac:dyDescent="0.25">
      <c r="A5" s="9" t="s">
        <v>1296</v>
      </c>
      <c r="B5" s="9" t="s">
        <v>1293</v>
      </c>
    </row>
    <row r="6" spans="1:2" x14ac:dyDescent="0.25">
      <c r="A6" s="9" t="s">
        <v>1297</v>
      </c>
      <c r="B6" s="9" t="s">
        <v>1293</v>
      </c>
    </row>
    <row r="7" spans="1:2" x14ac:dyDescent="0.25">
      <c r="A7" s="9" t="s">
        <v>1298</v>
      </c>
      <c r="B7" s="9" t="s">
        <v>1293</v>
      </c>
    </row>
    <row r="8" spans="1:2" x14ac:dyDescent="0.25">
      <c r="A8" s="9" t="s">
        <v>1299</v>
      </c>
      <c r="B8" s="9" t="s">
        <v>1293</v>
      </c>
    </row>
    <row r="9" spans="1:2" x14ac:dyDescent="0.25">
      <c r="A9" s="9" t="s">
        <v>1300</v>
      </c>
      <c r="B9" s="9" t="s">
        <v>1293</v>
      </c>
    </row>
    <row r="10" spans="1:2" x14ac:dyDescent="0.25">
      <c r="A10" s="9" t="s">
        <v>1301</v>
      </c>
      <c r="B10" s="9" t="s">
        <v>1293</v>
      </c>
    </row>
    <row r="11" spans="1:2" x14ac:dyDescent="0.25">
      <c r="A11" s="9" t="s">
        <v>1302</v>
      </c>
      <c r="B11" s="9" t="s">
        <v>1293</v>
      </c>
    </row>
    <row r="12" spans="1:2" x14ac:dyDescent="0.25">
      <c r="A12" s="9" t="s">
        <v>1303</v>
      </c>
      <c r="B12" s="9" t="s">
        <v>1293</v>
      </c>
    </row>
    <row r="13" spans="1:2" x14ac:dyDescent="0.25">
      <c r="A13" s="9" t="s">
        <v>1304</v>
      </c>
      <c r="B13" s="9" t="s">
        <v>1293</v>
      </c>
    </row>
    <row r="14" spans="1:2" x14ac:dyDescent="0.25">
      <c r="A14" s="9" t="s">
        <v>1305</v>
      </c>
      <c r="B14" s="9" t="s">
        <v>1293</v>
      </c>
    </row>
    <row r="15" spans="1:2" x14ac:dyDescent="0.25">
      <c r="A15" s="9" t="s">
        <v>1306</v>
      </c>
      <c r="B15" s="9" t="s">
        <v>1293</v>
      </c>
    </row>
    <row r="16" spans="1:2" x14ac:dyDescent="0.25">
      <c r="A16" s="9" t="s">
        <v>1307</v>
      </c>
      <c r="B16" s="9" t="s">
        <v>1308</v>
      </c>
    </row>
    <row r="17" spans="1:2" x14ac:dyDescent="0.25">
      <c r="A17" s="9" t="s">
        <v>1309</v>
      </c>
      <c r="B17" s="9" t="s">
        <v>1308</v>
      </c>
    </row>
    <row r="18" spans="1:2" x14ac:dyDescent="0.25">
      <c r="A18" s="9" t="s">
        <v>1310</v>
      </c>
      <c r="B18" s="9" t="s">
        <v>1308</v>
      </c>
    </row>
    <row r="19" spans="1:2" x14ac:dyDescent="0.25">
      <c r="A19" s="9" t="s">
        <v>1311</v>
      </c>
      <c r="B19" s="9" t="s">
        <v>1308</v>
      </c>
    </row>
    <row r="20" spans="1:2" ht="15.75" thickBot="1" x14ac:dyDescent="0.3">
      <c r="A20" s="10" t="s">
        <v>1312</v>
      </c>
      <c r="B20" s="10" t="s">
        <v>1308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79A833CF10F444BBAB252802BF889FD" ma:contentTypeVersion="13" ma:contentTypeDescription="Opprett et nytt dokument." ma:contentTypeScope="" ma:versionID="13049228d2ebeeda8a7bd52e722cfa58">
  <xsd:schema xmlns:xsd="http://www.w3.org/2001/XMLSchema" xmlns:xs="http://www.w3.org/2001/XMLSchema" xmlns:p="http://schemas.microsoft.com/office/2006/metadata/properties" xmlns:ns2="c01e712b-8f9b-4625-8219-31b20605feb3" xmlns:ns3="2b166a80-dccc-42cc-be33-87bca7e0d87c" targetNamespace="http://schemas.microsoft.com/office/2006/metadata/properties" ma:root="true" ma:fieldsID="e46e14a2803daf40a531882d51ce3d52" ns2:_="" ns3:_="">
    <xsd:import namespace="c01e712b-8f9b-4625-8219-31b20605feb3"/>
    <xsd:import namespace="2b166a80-dccc-42cc-be33-87bca7e0d8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e712b-8f9b-4625-8219-31b20605fe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166a80-dccc-42cc-be33-87bca7e0d87c"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9CC6E8-490E-4635-9D3F-743AF6F02B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1e712b-8f9b-4625-8219-31b20605feb3"/>
    <ds:schemaRef ds:uri="2b166a80-dccc-42cc-be33-87bca7e0d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9F0C36-44B1-4390-B047-386ADF46CBDE}">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B6570D26-28E5-4B10-84F9-A044851469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tab_captions</vt:lpstr>
      <vt:lpstr>fig_captions</vt:lpstr>
      <vt:lpstr>surveyplantab</vt:lpstr>
      <vt:lpstr>sciencethemestab</vt:lpstr>
      <vt:lpstr>reqparttab</vt:lpstr>
      <vt:lpstr>plannedparticipantstab</vt:lpstr>
      <vt:lpstr>equipmenttab</vt:lpstr>
      <vt:lpstr>datahandovertab</vt:lpstr>
      <vt:lpstr>biosamplingtab</vt:lpstr>
      <vt:lpstr>collectedsamplestab</vt:lpstr>
      <vt:lpstr>matstagetab</vt:lpstr>
      <vt:lpstr>additionalsamplingtab</vt:lpstr>
      <vt:lpstr>fatstageanchtab</vt:lpstr>
      <vt:lpstr>fatstagesarhtab</vt:lpstr>
      <vt:lpstr>acousticcattab</vt:lpstr>
      <vt:lpstr>transectpostab</vt:lpstr>
      <vt:lpstr>transectranktab</vt:lpstr>
      <vt:lpstr>taxonomytab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Nikolioudakis, Nikolaos</dc:creator>
  <cp:keywords/>
  <dc:description/>
  <cp:lastModifiedBy>Nikolioudakis, Nikolaos</cp:lastModifiedBy>
  <cp:revision/>
  <dcterms:created xsi:type="dcterms:W3CDTF">2015-06-05T18:17:20Z</dcterms:created>
  <dcterms:modified xsi:type="dcterms:W3CDTF">2022-06-08T17:20:11Z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0x010100B79A833CF10F444BBAB252802BF889FD</vt:lpwstr>
  </property>
</Properties>
</file>