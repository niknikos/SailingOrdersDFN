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12"/>
  <workbookPr/>
  <mc:AlternateContent xmlns:mc="http://schemas.openxmlformats.org/markup-compatibility/2006">
    <mc:Choice Requires="x15">
      <x15ac:absPath xmlns:x15ac="http://schemas.microsoft.com/office/spreadsheetml/2010/11/ac" url="https://havforskningsinstituttet.sharepoint.com/sites/DFN_SURVEYS/Shared Documents/DFN_2022_leg 5/Sailing Orders/SailingOrdersDFN/_tables/"/>
    </mc:Choice>
  </mc:AlternateContent>
  <xr:revisionPtr revIDLastSave="270" documentId="13_ncr:1_{65E99E6C-5CD4-4057-82AE-7446435D7900}" xr6:coauthVersionLast="47" xr6:coauthVersionMax="47" xr10:uidLastSave="{CEF7F3F2-E6E0-45D9-9244-15C6C08F62EF}"/>
  <bookViews>
    <workbookView xWindow="-120" yWindow="-120" windowWidth="29040" windowHeight="15840" tabRatio="757" firstSheet="2" activeTab="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cousticcattab" sheetId="18" r:id="rId12"/>
  </sheets>
  <definedNames>
    <definedName name="_xlnm._FilterDatabase" localSheetId="5" hidden="1">plannedparticipantstab!$A$1:$G$30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2" i="2" l="1"/>
  <c r="N10" i="2"/>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21" i="2" l="1"/>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<sst xmlns="http://schemas.openxmlformats.org/spreadsheetml/2006/main" count="967" uniqueCount="479">
  <si>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</si>
  <si>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</si>
  <si>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</si>
  <si>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</si>
  <si>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</si>
  <si>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</si>
  <si>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</si>
  <si>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</si>
  <si>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</si>
  <si>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</si>
  <si>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</si>
  <si>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</si>
  <si>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</si>
  <si>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</si>
  <si>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</si>
  <si>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</si>
  <si>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</si>
  <si>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</si>
  <si>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</si>
  <si>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</si>
  <si>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</si>
  <si>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</si>
  <si>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</si>
  <si>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</si>
  <si>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</si>
  <si>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leg 5 off NW Africa.</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</si>
  <si>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</si>
  <si>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</si>
  <si>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</si>
  <si>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Biological scales used for maturity stage.</t>
  </si>
  <si>
    <t>fig.name</t>
  </si>
  <si>
    <t>surveyareamap</t>
  </si>
  <si>
    <t>Leg 5 survey acoustic transects off Northwest Africa to assess the abundance and distribution of small pelagic recruitment purposes. Colored lines indicate the transects of the three different surveys under leg 5, dots show start and end positions of environmental transects.</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</si>
  <si>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</si>
  <si>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</si>
  <si>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</si>
  <si>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</si>
  <si>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</si>
  <si>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</si>
  <si>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</si>
  <si>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</si>
  <si>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</si>
  <si>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</si>
  <si>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Survey Name</t>
  </si>
  <si>
    <t>Duration in days</t>
  </si>
  <si>
    <t>Departure</t>
  </si>
  <si>
    <t>Arrival</t>
  </si>
  <si>
    <t>Port of Departure</t>
  </si>
  <si>
    <t>Port of Arrival</t>
  </si>
  <si>
    <t>Leg 5.1 Senegal &amp; The Gambia</t>
  </si>
  <si>
    <t>06/10/22</t>
  </si>
  <si>
    <t>18/10/22</t>
  </si>
  <si>
    <t>Dakar</t>
  </si>
  <si>
    <t>Leg 5.2 Mauritania &amp; Cape Blanc to Cape Bojador</t>
  </si>
  <si>
    <t>22/10/22</t>
  </si>
  <si>
    <t>15/11/22</t>
  </si>
  <si>
    <t>Las Palmas</t>
  </si>
  <si>
    <t>Leg 5.3 Cape Bojador to Tangier</t>
  </si>
  <si>
    <t>18/11/22</t>
  </si>
  <si>
    <t>19/12/22</t>
  </si>
  <si>
    <t xml:space="preserve">Theme </t>
  </si>
  <si>
    <t>Project</t>
  </si>
  <si>
    <t>Focal point</t>
  </si>
  <si>
    <t>Theme 1</t>
  </si>
  <si>
    <t>Identification guide to ichthyoplankton in Northwest Africa </t>
  </si>
  <si>
    <t>Edoardo Mostarda (FAO), Stamatina Isari (IMR)</t>
  </si>
  <si>
    <t>Theme 2</t>
  </si>
  <si>
    <t xml:space="preserve">Stock ID of *Scomber colias* in NWA </t>
  </si>
  <si>
    <t>Nikolaos Nikolioudakis (IMR)</t>
  </si>
  <si>
    <t xml:space="preserve">Addressing population structure of shared pelagic stocks, Investigation of bias in echo sounder acoustic surveys using omni directional sonar </t>
  </si>
  <si>
    <t>Theme 6 </t>
  </si>
  <si>
    <t>Marine debris and microplastics: occurrence and impacts on marine ecosystems</t>
  </si>
  <si>
    <t>Bjørn Einar Grøsvik (IMR), Peter Kershaw (FAO consultant and GESAMP) </t>
  </si>
  <si>
    <t>Theme 8</t>
  </si>
  <si>
    <t>Future studies of nutrient profiles, contaminants and microplastics of sardinella and anchovy </t>
  </si>
  <si>
    <t>Marian Kjellevold (IMR)</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</si>
  <si>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</si>
  <si>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</si>
  <si>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</si>
  <si>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</si>
  <si>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</si>
  <si>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</si>
  <si>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</si>
  <si>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</si>
  <si>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</si>
  <si>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</si>
  <si>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</si>
  <si>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</si>
  <si>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</si>
  <si>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</si>
  <si>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</si>
  <si>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</si>
  <si>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</si>
  <si>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</si>
  <si>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</si>
  <si>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</si>
  <si>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</si>
  <si>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</si>
  <si>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</si>
  <si>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</si>
  <si>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</si>
  <si>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</si>
  <si>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</si>
  <si>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</si>
  <si>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</si>
  <si>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</si>
  <si>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</si>
  <si>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</si>
  <si>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</si>
  <si>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</si>
  <si>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</si>
  <si>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</si>
  <si>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</si>
  <si>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</si>
  <si>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</si>
  <si>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</si>
  <si>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</si>
  <si>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</si>
  <si>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</si>
  <si>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</si>
  <si>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</si>
  <si>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</si>
  <si>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</si>
  <si>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</si>
  <si>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</si>
  <si>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</si>
  <si>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</si>
  <si>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</si>
  <si>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</si>
  <si>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</si>
  <si>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</si>
  <si>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</si>
  <si>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</si>
  <si>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</si>
  <si>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</si>
  <si>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ITALY</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</si>
  <si>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</si>
  <si>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</si>
  <si>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</si>
  <si>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</si>
  <si>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</si>
  <si>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</si>
  <si>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</si>
  <si>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</si>
  <si>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</si>
  <si>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Ole Vigeland</t>
  </si>
  <si>
    <t>Instruments Trainee</t>
  </si>
  <si>
    <t>Momodou S Jallow</t>
  </si>
  <si>
    <t>ms.underhil@gmail.com</t>
  </si>
  <si>
    <t>MoF?</t>
  </si>
  <si>
    <t>GAMBIA</t>
  </si>
  <si>
    <t>Kamarel Ba</t>
  </si>
  <si>
    <t>kamarel2@hotmail.com</t>
  </si>
  <si>
    <t>CRODT?</t>
  </si>
  <si>
    <t>SENEGAL</t>
  </si>
  <si>
    <t>Mami Rose Badjan</t>
  </si>
  <si>
    <t>Water Chemistry</t>
  </si>
  <si>
    <t>bmamierose31@gmail.com</t>
  </si>
  <si>
    <t xml:space="preserve">Lamin Fofana </t>
  </si>
  <si>
    <t>Plankton</t>
  </si>
  <si>
    <t>lfofana60@yahoo.com; lf2112294@utg.edu.gm;</t>
  </si>
  <si>
    <t>Modou lamin Conteh</t>
  </si>
  <si>
    <t>Modoulaminconteh0@gmail.com</t>
  </si>
  <si>
    <t xml:space="preserve">Peter K Mendy </t>
  </si>
  <si>
    <t>Fish lab</t>
  </si>
  <si>
    <t>pmendy21@gmail.com</t>
  </si>
  <si>
    <t xml:space="preserve">Sidi Mohamed Khatry </t>
  </si>
  <si>
    <t>sidimohamedkhattry@gmail.com</t>
  </si>
  <si>
    <t>IMROP</t>
  </si>
  <si>
    <t>MAURITANIA</t>
  </si>
  <si>
    <t>Sid 'Ahmed Hemmed</t>
  </si>
  <si>
    <t>ouldhemmed@gmail.com</t>
  </si>
  <si>
    <t>Fatou Tabane</t>
  </si>
  <si>
    <t>tabanefatou@yahoo.fr</t>
  </si>
  <si>
    <t>?</t>
  </si>
  <si>
    <t>Ndague Diogoul</t>
  </si>
  <si>
    <t>Oceanography</t>
  </si>
  <si>
    <t>diogoulndague@yahoo.fr</t>
  </si>
  <si>
    <t>Simone Dacruz</t>
  </si>
  <si>
    <t>simonalabelle@yahoo.fr</t>
  </si>
  <si>
    <t>Tamsir Sow</t>
  </si>
  <si>
    <t>tamsirousmanesow@yahoo.fr</t>
  </si>
  <si>
    <t xml:space="preserve">Aboubacar Gueye                         </t>
  </si>
  <si>
    <t>aboubacargueye@yahoo.fr</t>
  </si>
  <si>
    <t xml:space="preserve">Omar Ndiaye </t>
  </si>
  <si>
    <t>omndiaye1@hotmail.fr</t>
  </si>
  <si>
    <t>Magatte Niang</t>
  </si>
  <si>
    <t>niangmagatte966@gmail.com</t>
  </si>
  <si>
    <t>David Boyer </t>
  </si>
  <si>
    <t xml:space="preserve">Sarah Ann Bruck </t>
  </si>
  <si>
    <t>Merete Kvalsund </t>
  </si>
  <si>
    <t>Tor Magne Ensrud</t>
  </si>
  <si>
    <t>Mohamed Idrissi</t>
  </si>
  <si>
    <t>INRH</t>
  </si>
  <si>
    <t>Benjamin Marum</t>
  </si>
  <si>
    <t xml:space="preserve">Sindre Nygård Larsen </t>
  </si>
  <si>
    <t>Abdoulie B Jallow </t>
  </si>
  <si>
    <t>Marine biology/Taxonomy</t>
  </si>
  <si>
    <t>Belaabed Mohammed</t>
  </si>
  <si>
    <t>belaabed@inrh.ma</t>
  </si>
  <si>
    <t>MOROCCO</t>
  </si>
  <si>
    <t>Mahfoud Bousta</t>
  </si>
  <si>
    <t>Soukaina Ragmane</t>
  </si>
  <si>
    <t>Nasser kadouri</t>
  </si>
  <si>
    <t>Chaymae Jamal</t>
  </si>
  <si>
    <t>Fatima zohra Bouthir</t>
  </si>
  <si>
    <t>Reda Benallal</t>
  </si>
  <si>
    <t>Hajar Idmoussi</t>
  </si>
  <si>
    <t>Sow Harouna</t>
  </si>
  <si>
    <t>moahtaje@yahoo.fr</t>
  </si>
  <si>
    <t xml:space="preserve">Sleymane Abdel Kerim </t>
  </si>
  <si>
    <t>ba.mamadoubirane@yahoo.fr</t>
  </si>
  <si>
    <t xml:space="preserve">Mohmed Ahmed Jeyid </t>
  </si>
  <si>
    <t>mdsalem69@gmail.com</t>
  </si>
  <si>
    <t>Ba Mamadou Lamba</t>
  </si>
  <si>
    <t>swamadou@gmail.com</t>
  </si>
  <si>
    <t>Mohamed Salem Abdellahi Chouaib</t>
  </si>
  <si>
    <t>osouleimane@gmail.com</t>
  </si>
  <si>
    <t>Ismaila Ndour</t>
  </si>
  <si>
    <t>ndismaila@gmail.com</t>
  </si>
  <si>
    <t xml:space="preserve">Oumar Diéne </t>
  </si>
  <si>
    <t>dieneoumar10@gmail.com</t>
  </si>
  <si>
    <t>Omar Ndiaye</t>
  </si>
  <si>
    <t>Jens-Otto Krakstad </t>
  </si>
  <si>
    <t xml:space="preserve">Diana Zaera-Perez </t>
  </si>
  <si>
    <t xml:space="preserve">Frøydis Tousgaard Rist </t>
  </si>
  <si>
    <t>Astrid Fuglseth Rasmussen </t>
  </si>
  <si>
    <t>Agnethe Hertzberg </t>
  </si>
  <si>
    <t xml:space="preserve">Olaf J. Sørås </t>
  </si>
  <si>
    <t xml:space="preserve">Jori Neteland-Kyte </t>
  </si>
  <si>
    <t>Mamza Kamal</t>
  </si>
  <si>
    <t>Salahddine Sbiba</t>
  </si>
  <si>
    <t>Ayman Khaili</t>
  </si>
  <si>
    <t>Idrissi Farah Honaida</t>
  </si>
  <si>
    <t xml:space="preserve">Chaymae Achagra </t>
  </si>
  <si>
    <t>Abdelouahab El Haissen</t>
  </si>
  <si>
    <t>Said Charib</t>
  </si>
  <si>
    <t>Lamiae Diouri</t>
  </si>
  <si>
    <t>Lamin Fofana</t>
  </si>
  <si>
    <t>THE GAMBIA</t>
  </si>
  <si>
    <t>Saliou Faye</t>
  </si>
  <si>
    <t>Oceanography/Water Chemistry</t>
  </si>
  <si>
    <t>fayebayzal100@yahoo.fr</t>
  </si>
  <si>
    <t>Abdoulaye Sarré</t>
  </si>
  <si>
    <t>ablaysarrey@yahoo.fr</t>
  </si>
  <si>
    <t>Bah Mohamed Mahmoud Hmoudi</t>
  </si>
  <si>
    <t>hmoudibah@gmail.com</t>
  </si>
  <si>
    <t>Mohamed Mohamed Mahmoud</t>
  </si>
  <si>
    <t>elkhalilmohamed98@gmail.com</t>
  </si>
  <si>
    <t>Beyih</t>
  </si>
  <si>
    <t>mohamedbeyih@yahoo.fr</t>
  </si>
  <si>
    <t>Boukhary Vezaz</t>
  </si>
  <si>
    <t>boukharyvezaz@gmail.com</t>
  </si>
  <si>
    <t xml:space="preserve">DedeChamra </t>
  </si>
  <si>
    <t>ashquambic@gmail.com</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</si>
  <si>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</si>
  <si>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</si>
  <si>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</si>
  <si>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</si>
  <si>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</si>
  <si>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</si>
  <si>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</si>
  <si>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</si>
  <si>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</si>
  <si>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</si>
  <si>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</si>
  <si>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</si>
  <si>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</si>
  <si>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</si>
  <si>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</si>
  <si>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</si>
  <si>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</si>
  <si>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</si>
  <si>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</si>
  <si>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</si>
  <si>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</si>
  <si>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</si>
  <si>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</si>
  <si>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</si>
  <si>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</si>
  <si>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</si>
  <si>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</si>
  <si>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</si>
  <si>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</si>
  <si>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</si>
  <si>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</si>
  <si>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</si>
  <si>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</si>
  <si>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</si>
  <si>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</si>
  <si>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</si>
  <si>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</si>
  <si>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</si>
  <si>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</si>
  <si>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</si>
  <si>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</si>
  <si>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</si>
  <si>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</si>
  <si>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</si>
  <si>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</si>
  <si>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</si>
  <si>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</si>
  <si>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</si>
  <si>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</si>
  <si>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</si>
  <si>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</si>
  <si>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</si>
  <si>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</si>
  <si>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</si>
  <si>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</si>
  <si>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</si>
  <si>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</si>
  <si>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</si>
  <si>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</si>
  <si>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</si>
  <si>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</si>
  <si>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</si>
  <si>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</si>
  <si>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</si>
  <si>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</si>
  <si>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</si>
  <si>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</si>
  <si>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</si>
  <si>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</si>
  <si>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</si>
  <si>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</si>
  <si>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</si>
  <si>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</si>
  <si>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</si>
  <si>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</si>
  <si>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</si>
  <si>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</si>
  <si>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</si>
  <si>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</si>
  <si>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</si>
  <si>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</si>
  <si>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</si>
  <si>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</si>
  <si>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</si>
  <si>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</si>
  <si>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</si>
  <si>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</si>
  <si>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</si>
  <si>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</si>
  <si>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</si>
  <si>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</si>
  <si>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</si>
  <si>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</si>
  <si>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</si>
  <si>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</si>
  <si>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</si>
  <si>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</si>
  <si>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</si>
  <si>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biomass</t>
  </si>
  <si>
    <t>Phytoplankton</t>
  </si>
  <si>
    <t>Pollution</t>
  </si>
  <si>
    <t>Microplastics</t>
  </si>
  <si>
    <t>Observation platforms</t>
  </si>
  <si>
    <t>VAMS</t>
  </si>
  <si>
    <t>WBAT</t>
  </si>
  <si>
    <t>Deep Vision</t>
  </si>
  <si>
    <t xml:space="preserve">Activity diary (Survey Logger/Toktlogger) </t>
  </si>
  <si>
    <t>Nansis survey backup</t>
  </si>
  <si>
    <t>Species</t>
  </si>
  <si>
    <t>Catch (Weight / Numbers)</t>
  </si>
  <si>
    <t>Length frequency</t>
  </si>
  <si>
    <t>Wet body weight</t>
  </si>
  <si>
    <t>Sex &amp; Maturity</t>
  </si>
  <si>
    <t>Fat stage</t>
  </si>
  <si>
    <t>Otoliths</t>
  </si>
  <si>
    <t>Parasites</t>
  </si>
  <si>
    <t>Morphometrics</t>
  </si>
  <si>
    <t>Anthropogenic pollutants</t>
  </si>
  <si>
    <t>Basic biology</t>
  </si>
  <si>
    <t>Genetics</t>
  </si>
  <si>
    <t>Country</t>
  </si>
  <si>
    <t>*Engraulis encrasicolus*</t>
  </si>
  <si>
    <t>**YES**</t>
  </si>
  <si>
    <t>**√**</t>
  </si>
  <si>
    <t>*Sardinella aurita*</t>
  </si>
  <si>
    <t>*Sardinella maderensis*</t>
  </si>
  <si>
    <t>*Scomber colias*</t>
  </si>
  <si>
    <t>*Sardina pilchardus*</t>
  </si>
  <si>
    <t>*Trachurus trachurus*</t>
  </si>
  <si>
    <t>*Trachurus trecae*</t>
  </si>
  <si>
    <t>*Decapterous ronchus*</t>
  </si>
  <si>
    <t>*Ilisha africana*</t>
  </si>
  <si>
    <t>*Macroramphosus gracilis*</t>
  </si>
  <si>
    <t>*Trachurus picturatus*</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</si>
  <si>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</si>
  <si>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</si>
  <si>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</si>
  <si>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</si>
  <si>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</si>
  <si>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</si>
  <si>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</si>
  <si>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</si>
  <si>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</si>
  <si>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</si>
  <si>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</si>
  <si>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</si>
  <si>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</si>
  <si>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</si>
  <si>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</si>
  <si>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</si>
  <si>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</si>
  <si>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</si>
  <si>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</si>
  <si>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</si>
  <si>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</si>
  <si>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</si>
  <si>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</si>
  <si>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</si>
  <si>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</si>
  <si>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</si>
  <si>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</si>
  <si>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</si>
  <si>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</si>
  <si>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</si>
  <si>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</si>
  <si>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</si>
  <si>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</si>
  <si>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</si>
  <si>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</si>
  <si>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</si>
  <si>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</si>
  <si>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</si>
  <si>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</si>
  <si>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</si>
  <si>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</si>
  <si>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</si>
  <si>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</si>
  <si>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</si>
  <si>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</si>
  <si>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</si>
  <si>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</si>
  <si>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</si>
  <si>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</si>
  <si>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</si>
  <si>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</si>
  <si>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</si>
  <si>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</si>
  <si>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</si>
  <si>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</si>
  <si>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</si>
  <si>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</si>
  <si>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</si>
  <si>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</si>
  <si>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</si>
  <si>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</si>
  <si>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</si>
  <si>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</si>
  <si>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</si>
  <si>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*Decapterus rhonchus*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</si>
  <si>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</si>
  <si>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</si>
  <si>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</si>
  <si>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</si>
  <si>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</si>
  <si>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</si>
  <si>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</si>
  <si>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</si>
  <si>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</si>
  <si>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</si>
  <si>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</si>
  <si>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</si>
  <si>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</si>
  <si>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</si>
  <si>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</si>
  <si>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</si>
  <si>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</si>
  <si>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</si>
  <si>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</si>
  <si>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ME/PL </t>
  </si>
  <si>
    <t>Mesopelagics/Plankton </t>
  </si>
  <si>
    <t>Plankton, Euphausiids, Mesopelagic fish</t>
  </si>
  <si>
    <t>OTHER</t>
  </si>
  <si>
    <t>*Brachydeuterus auritus*</t>
  </si>
  <si>
    <t>*Brachydeuterus auritus*^[may be put under PEL2 but used as Other in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</si>
</sst>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1">
    <font>
      <sz val="11"/>
      <color theme="1"/>
      <name val="Calibri"/>
      <family val="2"/>
      <scheme val="minor"/>
    </font>
    <font>
      <b/>
      <sz val="11"/>
      <color theme="1"/>
      <name val="Calibri"/>
      <family val="2"/>
      <scheme val="minor"/>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5"/>
      <color rgb="FF212121"/>
      <name val="Arial"/>
      <family val="2"/>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
      <sz val="11"/>
      <name val="Calibri"/>
      <family val="2"/>
    </font>
    <font>
      <sz val="12"/>
      <color rgb="FF000000"/>
      <name val="Calibri"/>
      <family val="2"/>
    </font>
    <font>
      <b/>
      <sz val="11"/>
      <color rgb="FF000000"/>
      <name val="Arial"/>
      <family val="2"/>
    </font>
    <font>
      <sz val="11"/>
      <color rgb="FF000000"/>
      <name val="Arial"/>
      <family val="2"/>
    </font>
    <font>
      <sz val="11"/>
      <color rgb="FF000000"/>
      <name val="Calibri"/>
    </font>
  </fonts>
  <fills count="9">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s>
  <borders count="1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rgb="FF000000"/>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9">
    <xf numFmtId="0" fontId="0" fillId="0" borderId="0" xfId="0"/>
    <xf numFmtId="0" fontId="1" fillId="0" borderId="0" xfId="0" applyFont="1"/>
    <xf numFmtId="0" fontId="5" fillId="0" borderId="0" xfId="0" applyFont="1"/>
    <xf numFmtId="0" fontId="6" fillId="0" borderId="0" xfId="0" applyFont="1"/>
    <xf numFmtId="0" fontId="7" fillId="0" borderId="0" xfId="0" applyFont="1" applyAlignment="1">
      <alignment wrapText="1"/>
    </xf>
    <xf numFmtId="0" fontId="11" fillId="0" borderId="0" xfId="0" applyFont="1"/>
    <xf numFmtId="0" fontId="9" fillId="0" borderId="0" xfId="0" applyFont="1" applyAlignment="1">
      <alignment vertical="center" wrapText="1"/>
    </xf>
    <xf numFmtId="0" fontId="2" fillId="0" borderId="0" xfId="1" applyAlignment="1">
      <alignment wrapText="1"/>
    </xf>
    <xf numFmtId="0" fontId="2" fillId="0" borderId="0" xfId="1"/>
    <xf numFmtId="0" fontId="8" fillId="0" borderId="0" xfId="0" applyFont="1" applyAlignment="1">
      <alignment vertical="center" wrapText="1"/>
    </xf>
    <xf numFmtId="0" fontId="13" fillId="0" borderId="0" xfId="0" applyFont="1"/>
    <xf numFmtId="0" fontId="12" fillId="0" borderId="0" xfId="0"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wrapText="1"/>
    </xf>
    <xf numFmtId="0" fontId="0" fillId="0" borderId="0" xfId="0" applyAlignment="1">
      <alignment horizontal="center" vertical="center"/>
    </xf>
    <xf numFmtId="0" fontId="6" fillId="0" borderId="0" xfId="0" applyFont="1" applyAlignment="1">
      <alignment horizontal="left"/>
    </xf>
    <xf numFmtId="0" fontId="0" fillId="0" borderId="0" xfId="0" applyAlignment="1">
      <alignment horizontal="left"/>
    </xf>
    <xf numFmtId="0" fontId="15" fillId="0" borderId="0" xfId="0" applyFont="1"/>
    <xf numFmtId="0" fontId="4" fillId="0" borderId="0" xfId="0" applyFont="1" applyAlignment="1">
      <alignment vertical="center"/>
    </xf>
    <xf numFmtId="0" fontId="16" fillId="0" borderId="0" xfId="0" applyFont="1"/>
    <xf numFmtId="164" fontId="7" fillId="0" borderId="0" xfId="0" quotePrefix="1" applyNumberFormat="1" applyFont="1" applyAlignment="1">
      <alignment horizontal="right" wrapText="1"/>
    </xf>
    <xf numFmtId="0" fontId="6" fillId="3" borderId="0" xfId="0" applyFont="1" applyFill="1"/>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0" fillId="0" borderId="8" xfId="0" applyFont="1" applyBorder="1" applyAlignment="1">
      <alignment vertical="center" wrapText="1"/>
    </xf>
    <xf numFmtId="0" fontId="8" fillId="4" borderId="0" xfId="0" applyFont="1" applyFill="1" applyAlignment="1">
      <alignment horizontal="center" vertical="center" wrapText="1"/>
    </xf>
    <xf numFmtId="0" fontId="8" fillId="5" borderId="0" xfId="0" applyFont="1" applyFill="1" applyAlignment="1">
      <alignment horizontal="center" vertical="center" wrapText="1"/>
    </xf>
    <xf numFmtId="0" fontId="0" fillId="0" borderId="9" xfId="0" applyBorder="1"/>
    <xf numFmtId="0" fontId="17" fillId="0" borderId="0" xfId="0" applyFont="1" applyAlignment="1">
      <alignment horizontal="center" vertical="center" wrapText="1"/>
    </xf>
    <xf numFmtId="0" fontId="8" fillId="0" borderId="10" xfId="0" applyFont="1" applyBorder="1" applyAlignment="1">
      <alignment vertical="center" wrapText="1"/>
    </xf>
    <xf numFmtId="0" fontId="12" fillId="0" borderId="11" xfId="0" applyFont="1" applyBorder="1" applyAlignment="1">
      <alignment horizontal="center" vertical="center" wrapText="1"/>
    </xf>
    <xf numFmtId="0" fontId="0" fillId="0" borderId="11" xfId="0" applyBorder="1"/>
    <xf numFmtId="0" fontId="0" fillId="0" borderId="12" xfId="0" applyBorder="1"/>
    <xf numFmtId="164" fontId="0" fillId="0" borderId="0" xfId="0" quotePrefix="1" applyNumberFormat="1" applyAlignment="1">
      <alignment horizontal="right"/>
    </xf>
    <xf numFmtId="0" fontId="3" fillId="0" borderId="14" xfId="0" applyFont="1" applyBorder="1" applyAlignment="1">
      <alignment vertical="center" wrapText="1"/>
    </xf>
    <xf numFmtId="0" fontId="0" fillId="0" borderId="14" xfId="0" applyBorder="1"/>
    <xf numFmtId="0" fontId="3" fillId="2" borderId="4"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7" fillId="0" borderId="0" xfId="0" applyFont="1" applyAlignment="1">
      <alignment vertical="top"/>
    </xf>
    <xf numFmtId="0" fontId="20" fillId="0" borderId="0" xfId="0" applyFont="1" applyAlignment="1">
      <alignment wrapText="1"/>
    </xf>
    <xf numFmtId="0" fontId="21" fillId="0" borderId="0" xfId="0" applyFont="1" applyAlignment="1">
      <alignment wrapText="1"/>
    </xf>
    <xf numFmtId="0" fontId="21" fillId="0" borderId="13" xfId="0" applyFont="1" applyBorder="1" applyAlignment="1">
      <alignment wrapText="1"/>
    </xf>
    <xf numFmtId="0" fontId="21" fillId="0" borderId="13" xfId="0" applyFont="1" applyBorder="1"/>
    <xf numFmtId="0" fontId="23" fillId="0" borderId="0" xfId="0" applyFont="1"/>
    <xf numFmtId="0" fontId="10" fillId="0" borderId="13" xfId="0" applyFont="1" applyBorder="1"/>
    <xf numFmtId="0" fontId="6" fillId="0" borderId="0" xfId="0" applyFont="1" applyAlignment="1">
      <alignment horizontal="center"/>
    </xf>
    <xf numFmtId="0" fontId="22" fillId="0" borderId="13" xfId="0" applyFont="1" applyBorder="1" applyAlignment="1">
      <alignment wrapText="1"/>
    </xf>
    <xf numFmtId="0" fontId="8" fillId="0" borderId="13" xfId="0" applyFont="1" applyBorder="1" applyAlignment="1">
      <alignment wrapText="1"/>
    </xf>
    <xf numFmtId="0" fontId="6"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2" fillId="0" borderId="0" xfId="0" applyFont="1" applyAlignment="1">
      <alignment wrapText="1"/>
    </xf>
    <xf numFmtId="0" fontId="0" fillId="3" borderId="0" xfId="0" applyFill="1"/>
    <xf numFmtId="0" fontId="6" fillId="7" borderId="0" xfId="0" applyFont="1" applyFill="1"/>
    <xf numFmtId="0" fontId="0" fillId="6" borderId="0" xfId="0" applyFill="1"/>
    <xf numFmtId="0" fontId="18" fillId="0" borderId="0" xfId="0" applyFont="1" applyAlignment="1">
      <alignment horizontal="center" vertical="center"/>
    </xf>
    <xf numFmtId="0" fontId="10" fillId="0" borderId="0" xfId="0" applyFont="1" applyAlignment="1">
      <alignment wrapText="1"/>
    </xf>
    <xf numFmtId="0" fontId="21" fillId="0" borderId="0" xfId="0" applyFont="1"/>
    <xf numFmtId="0" fontId="8" fillId="0" borderId="0" xfId="0" applyFont="1"/>
    <xf numFmtId="0" fontId="10" fillId="0" borderId="0" xfId="0" applyFont="1"/>
    <xf numFmtId="0" fontId="24" fillId="0" borderId="0" xfId="0" applyFont="1"/>
    <xf numFmtId="0" fontId="24" fillId="6" borderId="0" xfId="0" applyFont="1" applyFill="1"/>
    <xf numFmtId="0" fontId="25" fillId="8" borderId="0" xfId="0" applyFont="1" applyFill="1"/>
    <xf numFmtId="0" fontId="25" fillId="0" borderId="0" xfId="0" applyFont="1"/>
    <xf numFmtId="0" fontId="4" fillId="0" borderId="0" xfId="0" applyFont="1"/>
    <xf numFmtId="0" fontId="26" fillId="0" borderId="0" xfId="0" applyFont="1"/>
    <xf numFmtId="0" fontId="2" fillId="0" borderId="0" xfId="1" applyFill="1" applyAlignment="1">
      <alignment wrapText="1"/>
    </xf>
    <xf numFmtId="0" fontId="2" fillId="0" borderId="0" xfId="1" applyFill="1"/>
    <xf numFmtId="0" fontId="27" fillId="0" borderId="0" xfId="0" applyFont="1"/>
    <xf numFmtId="0" fontId="28" fillId="0" borderId="1" xfId="0" applyFont="1" applyBorder="1" applyAlignment="1">
      <alignment wrapText="1"/>
    </xf>
    <xf numFmtId="0" fontId="28" fillId="0" borderId="2" xfId="0" applyFont="1" applyBorder="1" applyAlignment="1">
      <alignment wrapText="1"/>
    </xf>
    <xf numFmtId="0" fontId="28" fillId="0" borderId="3" xfId="0" applyFont="1" applyBorder="1" applyAlignment="1">
      <alignment wrapText="1"/>
    </xf>
    <xf numFmtId="0" fontId="29" fillId="0" borderId="16" xfId="0" applyFont="1" applyBorder="1" applyAlignment="1">
      <alignment wrapText="1"/>
    </xf>
    <xf numFmtId="0" fontId="30" fillId="0" borderId="0" xfId="0" applyFont="1" applyAlignment="1">
      <alignment horizontal="left" vertical="center"/>
    </xf>
    <xf numFmtId="0" fontId="30" fillId="0" borderId="0" xfId="0" applyFont="1"/>
    <xf numFmtId="0" fontId="22" fillId="0" borderId="0" xfId="0" applyFont="1" applyAlignment="1">
      <alignment wrapText="1"/>
    </xf>
    <xf numFmtId="0" fontId="21" fillId="0" borderId="0" xfId="0" applyFont="1" applyAlignment="1">
      <alignment wrapText="1"/>
    </xf>
    <xf numFmtId="0" fontId="21" fillId="0" borderId="13"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3" Type="http://schemas.openxmlformats.org/officeDocument/2006/relationships/hyperlink" Target="mailto:pmendy21@gmail.com" TargetMode="External"/><Relationship Id="rId18" Type="http://schemas.openxmlformats.org/officeDocument/2006/relationships/hyperlink" Target="mailto:simonalabelle@yahoo.fr" TargetMode="External"/><Relationship Id="rId26" Type="http://schemas.openxmlformats.org/officeDocument/2006/relationships/hyperlink" Target="mailto:omndiaye1@hotmail.fr" TargetMode="External"/><Relationship Id="rId3" Type="http://schemas.openxmlformats.org/officeDocument/2006/relationships/hyperlink" Target="mailto:sarah.ann.bruck@hi.no" TargetMode="External"/><Relationship Id="rId21" Type="http://schemas.openxmlformats.org/officeDocument/2006/relationships/hyperlink" Target="mailto:omndiaye1@hotmail.fr" TargetMode="External"/><Relationship Id="rId34" Type="http://schemas.openxmlformats.org/officeDocument/2006/relationships/hyperlink" Target="mailto:boukharyvezaz@gmail.com" TargetMode="External"/><Relationship Id="rId7" Type="http://schemas.openxmlformats.org/officeDocument/2006/relationships/hyperlink" Target="mailto:belaabed@inrh.ma" TargetMode="External"/><Relationship Id="rId12" Type="http://schemas.openxmlformats.org/officeDocument/2006/relationships/hyperlink" Target="mailto:Modoulaminconteh0@gmail.com" TargetMode="External"/><Relationship Id="rId17" Type="http://schemas.openxmlformats.org/officeDocument/2006/relationships/hyperlink" Target="mailto:diogoulndague@yahoo.fr" TargetMode="External"/><Relationship Id="rId25" Type="http://schemas.openxmlformats.org/officeDocument/2006/relationships/hyperlink" Target="mailto:dieneoumar10@gmail.com" TargetMode="External"/><Relationship Id="rId33" Type="http://schemas.openxmlformats.org/officeDocument/2006/relationships/hyperlink" Target="mailto:mohamedbeyih@yahoo.fr" TargetMode="External"/><Relationship Id="rId2" Type="http://schemas.openxmlformats.org/officeDocument/2006/relationships/hyperlink" Target="mailto:Jori.Neteland-Kyte@hi.no" TargetMode="External"/><Relationship Id="rId16" Type="http://schemas.openxmlformats.org/officeDocument/2006/relationships/hyperlink" Target="mailto:tabanefatou@yahoo.fr" TargetMode="External"/><Relationship Id="rId20" Type="http://schemas.openxmlformats.org/officeDocument/2006/relationships/hyperlink" Target="mailto:aboubacargueye@yahoo.fr" TargetMode="External"/><Relationship Id="rId29" Type="http://schemas.openxmlformats.org/officeDocument/2006/relationships/hyperlink" Target="mailto:swamadou@gmail.c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11" Type="http://schemas.openxmlformats.org/officeDocument/2006/relationships/hyperlink" Target="mailto:bmamierose31@gmail.com" TargetMode="External"/><Relationship Id="rId24" Type="http://schemas.openxmlformats.org/officeDocument/2006/relationships/hyperlink" Target="mailto:ndismaila@gmail.com" TargetMode="External"/><Relationship Id="rId32" Type="http://schemas.openxmlformats.org/officeDocument/2006/relationships/hyperlink" Target="mailto:ablaysarrey@yahoo.fr" TargetMode="External"/><Relationship Id="rId5" Type="http://schemas.openxmlformats.org/officeDocument/2006/relationships/hyperlink" Target="mailto:olaf.j.soeraas@hi.no" TargetMode="External"/><Relationship Id="rId15" Type="http://schemas.openxmlformats.org/officeDocument/2006/relationships/hyperlink" Target="mailto:ouldhemmed@gmail.com" TargetMode="External"/><Relationship Id="rId23" Type="http://schemas.openxmlformats.org/officeDocument/2006/relationships/hyperlink" Target="mailto:tabanefatou@yahoo.fr" TargetMode="External"/><Relationship Id="rId28" Type="http://schemas.openxmlformats.org/officeDocument/2006/relationships/hyperlink" Target="mailto:mdsalem69@gmail.com" TargetMode="External"/><Relationship Id="rId36" Type="http://schemas.openxmlformats.org/officeDocument/2006/relationships/printerSettings" Target="../printerSettings/printerSettings6.bin"/><Relationship Id="rId10" Type="http://schemas.openxmlformats.org/officeDocument/2006/relationships/hyperlink" Target="mailto:lfofana60@yahoo.com;%20lf2112294@utg.edu.gm" TargetMode="External"/><Relationship Id="rId19" Type="http://schemas.openxmlformats.org/officeDocument/2006/relationships/hyperlink" Target="mailto:tamsirousmanesow@yahoo.fr" TargetMode="External"/><Relationship Id="rId31" Type="http://schemas.openxmlformats.org/officeDocument/2006/relationships/hyperlink" Target="mailto:fayebayzal100@yahoo.fr" TargetMode="External"/><Relationship Id="rId4" Type="http://schemas.openxmlformats.org/officeDocument/2006/relationships/hyperlink" Target="mailto:eirik.odland@hi.no" TargetMode="External"/><Relationship Id="rId9" Type="http://schemas.openxmlformats.org/officeDocument/2006/relationships/hyperlink" Target="mailto:ms.underhil@gmail.com" TargetMode="External"/><Relationship Id="rId14" Type="http://schemas.openxmlformats.org/officeDocument/2006/relationships/hyperlink" Target="mailto:sidimohamedkhattry@gmail.com" TargetMode="External"/><Relationship Id="rId22" Type="http://schemas.openxmlformats.org/officeDocument/2006/relationships/hyperlink" Target="mailto:niangmagatte966@gmail.com" TargetMode="External"/><Relationship Id="rId27" Type="http://schemas.openxmlformats.org/officeDocument/2006/relationships/hyperlink" Target="mailto:moahtaje@yahoo.fr" TargetMode="External"/><Relationship Id="rId30" Type="http://schemas.openxmlformats.org/officeDocument/2006/relationships/hyperlink" Target="mailto:osouleimane@gmail.com" TargetMode="External"/><Relationship Id="rId35" Type="http://schemas.openxmlformats.org/officeDocument/2006/relationships/hyperlink" Target="mailto:ashquambic@gmail.com" TargetMode="External"/><Relationship Id="rId8" Type="http://schemas.openxmlformats.org/officeDocument/2006/relationships/hyperlink" Target="mailto:kamarel2@hot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workbookViewId="0">
      <selection activeCell="A16" sqref="A16"/>
    </sheetView>
  </sheetViews>
  <sheetFormatPr defaultColWidth="8.85546875" defaultRowHeight="15"/>
  <cols>
    <col min="1" max="1" width="24.85546875" bestFit="1" customWidth="1"/>
    <col min="2" max="2" width="235.42578125" bestFit="1" customWidth="1"/>
  </cols>
  <sheetData>
    <row r="1" spans="1:2">
      <c r="A1" s="2" t="s">
        <v>0</v>
      </c>
      <c r="B1" s="2" t="s">
        <v>1</v>
      </c>
    </row>
    <row r="2" spans="1:2">
      <c r="A2" s="3" t="s">
        <v>2</v>
      </c>
      <c r="B2" s="3" t="s">
        <v>3</v>
      </c>
    </row>
    <row r="3" spans="1:2">
      <c r="A3" s="3" t="s">
        <v>4</v>
      </c>
      <c r="B3" s="3" t="s">
        <v>5</v>
      </c>
    </row>
    <row r="4" spans="1:2" ht="15.75">
      <c r="A4" s="5" t="s">
        <v>6</v>
      </c>
      <c r="B4" s="3" t="s">
        <v>7</v>
      </c>
    </row>
    <row r="5" spans="1:2" ht="15.75">
      <c r="A5" s="3" t="s">
        <v>8</v>
      </c>
      <c r="B5" s="5" t="s">
        <v>9</v>
      </c>
    </row>
    <row r="6" spans="1:2">
      <c r="A6" s="3" t="s">
        <v>10</v>
      </c>
      <c r="B6" s="3" t="s">
        <v>11</v>
      </c>
    </row>
    <row r="7" spans="1:2">
      <c r="A7" s="3" t="s">
        <v>12</v>
      </c>
      <c r="B7" s="3" t="s">
        <v>13</v>
      </c>
    </row>
    <row r="8" spans="1:2" ht="15.75">
      <c r="A8" s="5" t="s">
        <v>14</v>
      </c>
      <c r="B8" s="3" t="s">
        <v>15</v>
      </c>
    </row>
    <row r="9" spans="1:2">
      <c r="A9" s="3" t="s">
        <v>16</v>
      </c>
      <c r="B9" s="3" t="s">
        <v>17</v>
      </c>
    </row>
    <row r="10" spans="1:2">
      <c r="A10" t="s">
        <v>18</v>
      </c>
      <c r="B10" s="3" t="s">
        <v>19</v>
      </c>
    </row>
    <row r="11" spans="1:2" ht="15.75">
      <c r="A11" s="5" t="s">
        <v>20</v>
      </c>
      <c r="B11" s="3" t="s">
        <v>21</v>
      </c>
    </row>
    <row r="12" spans="1:2">
      <c r="A12" t="s">
        <v>22</v>
      </c>
      <c r="B12" t="s">
        <v>23</v>
      </c>
    </row>
    <row r="13" spans="1:2">
      <c r="A13" t="s">
        <v>24</v>
      </c>
      <c r="B13" t="s">
        <v>25</v>
      </c>
    </row>
    <row r="14" spans="1:2">
      <c r="A14" t="s">
        <v>26</v>
      </c>
      <c r="B14" t="s">
        <v>27</v>
      </c>
    </row>
    <row r="15" spans="1:2" ht="15.75">
      <c r="A15" t="s">
        <v>28</v>
      </c>
      <c r="B15" s="69" t="s">
        <v>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13" sqref="A13"/>
    </sheetView>
  </sheetViews>
  <sheetFormatPr defaultColWidth="8.85546875" defaultRowHeight="15"/>
  <cols>
    <col min="1" max="1" width="27.28515625" bestFit="1" customWidth="1"/>
    <col min="2" max="2" width="57.28515625" bestFit="1" customWidth="1"/>
  </cols>
  <sheetData>
    <row r="1" spans="1:2">
      <c r="A1" s="1" t="s">
        <v>30</v>
      </c>
      <c r="B1" s="1" t="s">
        <v>1</v>
      </c>
    </row>
    <row r="2" spans="1:2">
      <c r="A2" t="s">
        <v>31</v>
      </c>
      <c r="B2" s="3" t="s">
        <v>32</v>
      </c>
    </row>
    <row r="3" spans="1:2">
      <c r="A3" t="s">
        <v>33</v>
      </c>
      <c r="B3" s="3" t="s">
        <v>34</v>
      </c>
    </row>
    <row r="4" spans="1:2">
      <c r="A4" t="s">
        <v>35</v>
      </c>
      <c r="B4" s="3" t="s">
        <v>36</v>
      </c>
    </row>
    <row r="5" spans="1:2">
      <c r="A5" t="s">
        <v>37</v>
      </c>
      <c r="B5" s="3" t="s">
        <v>38</v>
      </c>
    </row>
    <row r="6" spans="1:2">
      <c r="A6" t="s">
        <v>39</v>
      </c>
      <c r="B6" s="3" t="s">
        <v>40</v>
      </c>
    </row>
    <row r="7" spans="1:2">
      <c r="A7" t="s">
        <v>41</v>
      </c>
      <c r="B7" s="3" t="s">
        <v>42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zoomScale="150" zoomScaleNormal="150" workbookViewId="0">
      <selection activeCell="A4" sqref="A4"/>
    </sheetView>
  </sheetViews>
  <sheetFormatPr defaultColWidth="8.85546875" defaultRowHeight="15"/>
  <cols>
    <col min="1" max="1" width="41.85546875" bestFit="1" customWidth="1"/>
    <col min="2" max="2" width="15.42578125" bestFit="1" customWidth="1"/>
    <col min="3" max="4" width="10.7109375" bestFit="1" customWidth="1"/>
    <col min="5" max="5" width="16.42578125" bestFit="1" customWidth="1"/>
    <col min="6" max="6" width="13.42578125" bestFit="1" customWidth="1"/>
  </cols>
  <sheetData>
    <row r="1" spans="1:6">
      <c r="A1" s="2" t="s">
        <v>43</v>
      </c>
      <c r="B1" s="2" t="s">
        <v>44</v>
      </c>
      <c r="C1" s="2" t="s">
        <v>45</v>
      </c>
      <c r="D1" s="2" t="s">
        <v>46</v>
      </c>
      <c r="E1" s="2" t="s">
        <v>47</v>
      </c>
      <c r="F1" s="2" t="s">
        <v>48</v>
      </c>
    </row>
    <row r="2" spans="1:6">
      <c r="A2" t="s">
        <v>49</v>
      </c>
      <c r="B2" s="4">
        <v>13</v>
      </c>
      <c r="C2" s="20" t="s">
        <v>50</v>
      </c>
      <c r="D2" s="20" t="s">
        <v>51</v>
      </c>
      <c r="E2" s="18" t="s">
        <v>52</v>
      </c>
      <c r="F2" s="18" t="s">
        <v>52</v>
      </c>
    </row>
    <row r="3" spans="1:6">
      <c r="A3" s="19" t="s">
        <v>53</v>
      </c>
      <c r="B3" s="4">
        <v>25</v>
      </c>
      <c r="C3" s="20" t="s">
        <v>54</v>
      </c>
      <c r="D3" s="20" t="s">
        <v>55</v>
      </c>
      <c r="E3" s="18" t="s">
        <v>52</v>
      </c>
      <c r="F3" t="s">
        <v>56</v>
      </c>
    </row>
    <row r="4" spans="1:6">
      <c r="A4" s="19" t="s">
        <v>57</v>
      </c>
      <c r="B4">
        <v>29</v>
      </c>
      <c r="C4" s="20" t="s">
        <v>58</v>
      </c>
      <c r="D4" s="34" t="s">
        <v>59</v>
      </c>
      <c r="E4" t="s">
        <v>56</v>
      </c>
      <c r="F4" t="s">
        <v>56</v>
      </c>
    </row>
  </sheetData>
  <phoneticPr fontId="1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zoomScale="150" zoomScaleNormal="150" workbookViewId="0">
      <selection activeCell="B4" sqref="B4"/>
    </sheetView>
  </sheetViews>
  <sheetFormatPr defaultColWidth="8.85546875" defaultRowHeight="15"/>
  <cols>
    <col min="1" max="1" width="15" customWidth="1"/>
    <col min="2" max="2" width="62.42578125" customWidth="1"/>
    <col min="3" max="3" width="50.42578125" customWidth="1"/>
  </cols>
  <sheetData>
    <row r="1" spans="1:3">
      <c r="A1" s="6" t="s">
        <v>60</v>
      </c>
      <c r="B1" s="6" t="s">
        <v>61</v>
      </c>
      <c r="C1" s="6" t="s">
        <v>62</v>
      </c>
    </row>
    <row r="2" spans="1:3">
      <c r="A2" s="9" t="s">
        <v>63</v>
      </c>
      <c r="B2" s="9" t="s">
        <v>64</v>
      </c>
      <c r="C2" s="9" t="s">
        <v>65</v>
      </c>
    </row>
    <row r="3" spans="1:3">
      <c r="A3" s="9" t="s">
        <v>66</v>
      </c>
      <c r="B3" s="9" t="s">
        <v>67</v>
      </c>
      <c r="C3" s="9" t="s">
        <v>68</v>
      </c>
    </row>
    <row r="4" spans="1:3" ht="25.5">
      <c r="A4" s="9" t="s">
        <v>66</v>
      </c>
      <c r="B4" s="9" t="s">
        <v>69</v>
      </c>
      <c r="C4" s="9" t="s">
        <v>68</v>
      </c>
    </row>
    <row r="5" spans="1:3" ht="25.5">
      <c r="A5" s="9" t="s">
        <v>70</v>
      </c>
      <c r="B5" s="9" t="s">
        <v>71</v>
      </c>
      <c r="C5" s="9" t="s">
        <v>72</v>
      </c>
    </row>
    <row r="6" spans="1:3" ht="25.5">
      <c r="A6" s="9" t="s">
        <v>73</v>
      </c>
      <c r="B6" s="9" t="s">
        <v>74</v>
      </c>
      <c r="C6" s="9" t="s">
        <v>75</v>
      </c>
    </row>
    <row r="7" spans="1:3" ht="25.5">
      <c r="A7" s="9" t="s">
        <v>76</v>
      </c>
      <c r="B7" s="9" t="s">
        <v>77</v>
      </c>
      <c r="C7" s="9" t="s">
        <v>78</v>
      </c>
    </row>
    <row r="8" spans="1:3">
      <c r="A8" s="9" t="s">
        <v>79</v>
      </c>
      <c r="B8" s="9" t="s">
        <v>80</v>
      </c>
      <c r="C8" s="9" t="s">
        <v>81</v>
      </c>
    </row>
    <row r="9" spans="1:3">
      <c r="A9" s="9"/>
      <c r="B9" s="9"/>
      <c r="C9" s="9"/>
    </row>
    <row r="10" spans="1:3">
      <c r="A10" s="9"/>
      <c r="B10" s="9"/>
      <c r="C10" s="9"/>
    </row>
    <row r="11" spans="1:3">
      <c r="A11" s="9"/>
      <c r="B11" s="9"/>
      <c r="C11" s="9"/>
    </row>
    <row r="12" spans="1:3">
      <c r="A12" s="9"/>
      <c r="B12" s="9"/>
      <c r="C12" s="9"/>
    </row>
    <row r="13" spans="1:3">
      <c r="A13" s="9"/>
      <c r="B13" s="9"/>
      <c r="C13" s="9"/>
    </row>
    <row r="14" spans="1:3">
      <c r="A14" s="10"/>
      <c r="B14" s="10"/>
      <c r="C14"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opLeftCell="B1" zoomScale="85" zoomScaleNormal="85" workbookViewId="0">
      <selection activeCell="F5" sqref="F5"/>
    </sheetView>
  </sheetViews>
  <sheetFormatPr defaultColWidth="8.85546875" defaultRowHeight="15"/>
  <cols>
    <col min="1" max="1" width="6.5703125" bestFit="1" customWidth="1"/>
    <col min="2" max="2" width="27.140625" bestFit="1" customWidth="1"/>
    <col min="3" max="4" width="14.140625" bestFit="1" customWidth="1"/>
    <col min="5" max="5" width="19.7109375" bestFit="1" customWidth="1"/>
    <col min="6" max="6" width="24" bestFit="1" customWidth="1"/>
    <col min="7" max="7" width="8" bestFit="1" customWidth="1"/>
    <col min="8" max="8" width="7.85546875" bestFit="1" customWidth="1"/>
    <col min="9" max="9" width="10.7109375" bestFit="1" customWidth="1"/>
    <col min="10" max="10" width="8.7109375" bestFit="1" customWidth="1"/>
    <col min="11" max="11" width="20.5703125" bestFit="1" customWidth="1"/>
    <col min="12" max="12" width="20.5703125" customWidth="1"/>
    <col min="13" max="14" width="23.7109375" bestFit="1" customWidth="1"/>
    <col min="15" max="15" width="18.140625" customWidth="1"/>
  </cols>
  <sheetData>
    <row r="1" spans="1:14">
      <c r="A1" s="2" t="s">
        <v>82</v>
      </c>
      <c r="B1" s="2" t="s">
        <v>83</v>
      </c>
      <c r="C1" s="2" t="s">
        <v>84</v>
      </c>
      <c r="D1" s="2" t="s">
        <v>85</v>
      </c>
      <c r="E1" s="2" t="s">
        <v>86</v>
      </c>
      <c r="F1" s="2" t="s">
        <v>87</v>
      </c>
      <c r="G1" s="2" t="s">
        <v>88</v>
      </c>
      <c r="H1" s="2" t="s">
        <v>89</v>
      </c>
      <c r="I1" s="2" t="s">
        <v>90</v>
      </c>
      <c r="J1" s="2" t="s">
        <v>91</v>
      </c>
      <c r="K1" s="2" t="s">
        <v>92</v>
      </c>
      <c r="L1" s="2" t="s">
        <v>93</v>
      </c>
      <c r="M1" s="2" t="s">
        <v>94</v>
      </c>
      <c r="N1" s="2" t="s">
        <v>95</v>
      </c>
    </row>
    <row r="2" spans="1:14">
      <c r="A2" s="3" t="s">
        <v>96</v>
      </c>
      <c r="B2" s="3" t="s">
        <v>97</v>
      </c>
      <c r="C2" s="53">
        <v>1</v>
      </c>
      <c r="D2" s="21">
        <v>1</v>
      </c>
      <c r="E2" s="3">
        <v>1</v>
      </c>
      <c r="F2" s="55" t="str">
        <f>IF(D2&gt;0, IF(D2-E2=0,"",D2-E2), IF(E2&gt;0,E2,""))</f>
        <v/>
      </c>
      <c r="G2" s="3"/>
      <c r="H2" s="3"/>
      <c r="I2" s="3"/>
      <c r="J2" s="3"/>
      <c r="K2" s="3"/>
      <c r="L2" s="55" t="str">
        <f t="shared" ref="L2:L10" si="0">IF(SUM(G2:K2)=0,"",SUM(G2:K2))</f>
        <v/>
      </c>
      <c r="M2" s="55" t="str">
        <f t="shared" ref="M2:M10" si="1">IF(C2=D2,"",IF(L2="", "", C2-(D2+L2)))</f>
        <v/>
      </c>
    </row>
    <row r="3" spans="1:14">
      <c r="A3" s="3" t="s">
        <v>96</v>
      </c>
      <c r="B3" s="3" t="s">
        <v>98</v>
      </c>
      <c r="C3" s="53">
        <v>1</v>
      </c>
      <c r="D3" s="21"/>
      <c r="E3" s="3"/>
      <c r="F3" s="55" t="str">
        <f>IF(D3&gt;0, IF(D3-E3=0,"",D3-E3), IF(E3&gt;0,E3,""))</f>
        <v/>
      </c>
      <c r="G3" s="3">
        <v>1</v>
      </c>
      <c r="H3" s="63" t="s">
        <v>99</v>
      </c>
      <c r="I3" s="3"/>
      <c r="J3" s="3"/>
      <c r="K3" s="3"/>
      <c r="L3" s="55">
        <f t="shared" si="0"/>
        <v>1</v>
      </c>
      <c r="M3" s="55">
        <f t="shared" si="1"/>
        <v>0</v>
      </c>
    </row>
    <row r="4" spans="1:14">
      <c r="A4" s="3" t="s">
        <v>96</v>
      </c>
      <c r="B4" s="3" t="s">
        <v>100</v>
      </c>
      <c r="C4" s="53">
        <v>4</v>
      </c>
      <c r="D4" s="21">
        <v>1</v>
      </c>
      <c r="E4" s="3">
        <v>1</v>
      </c>
      <c r="F4" s="55" t="str">
        <f t="shared" ref="F4:F10" si="2">IF(D4&gt;0, IF(D4-E4=0,"",D4-E4), IF(E4&gt;0,E4,""))</f>
        <v/>
      </c>
      <c r="G4" s="3">
        <v>1</v>
      </c>
      <c r="H4" s="3">
        <v>1</v>
      </c>
      <c r="I4" s="3"/>
      <c r="J4" s="61">
        <v>1</v>
      </c>
      <c r="K4" s="3"/>
      <c r="L4" s="55">
        <f t="shared" si="0"/>
        <v>3</v>
      </c>
      <c r="M4" s="55">
        <f>IF(C4=D4,"",IF(L4="", "", C4-(D4+L4)))</f>
        <v>0</v>
      </c>
    </row>
    <row r="5" spans="1:14">
      <c r="A5" s="3" t="s">
        <v>96</v>
      </c>
      <c r="B5" s="3" t="s">
        <v>101</v>
      </c>
      <c r="C5" s="53">
        <v>2</v>
      </c>
      <c r="D5" s="21">
        <v>1</v>
      </c>
      <c r="E5" s="3"/>
      <c r="F5" s="55">
        <f t="shared" si="2"/>
        <v>1</v>
      </c>
      <c r="G5" s="3">
        <v>1</v>
      </c>
      <c r="H5" s="3"/>
      <c r="I5" s="3"/>
      <c r="J5" s="3"/>
      <c r="K5" s="3"/>
      <c r="L5" s="55">
        <f t="shared" si="0"/>
        <v>1</v>
      </c>
      <c r="M5" s="55">
        <f t="shared" si="1"/>
        <v>0</v>
      </c>
    </row>
    <row r="6" spans="1:14">
      <c r="A6" s="3" t="s">
        <v>96</v>
      </c>
      <c r="B6" s="3" t="s">
        <v>102</v>
      </c>
      <c r="C6" s="53">
        <v>5</v>
      </c>
      <c r="D6" s="21">
        <v>1</v>
      </c>
      <c r="E6" s="3">
        <v>1</v>
      </c>
      <c r="F6" s="55" t="str">
        <f t="shared" si="2"/>
        <v/>
      </c>
      <c r="G6" s="3">
        <v>2</v>
      </c>
      <c r="H6" s="3">
        <v>2</v>
      </c>
      <c r="I6" s="3"/>
      <c r="J6" s="3"/>
      <c r="K6" s="3"/>
      <c r="L6" s="55">
        <f t="shared" si="0"/>
        <v>4</v>
      </c>
      <c r="M6" s="55">
        <f t="shared" si="1"/>
        <v>0</v>
      </c>
    </row>
    <row r="7" spans="1:14">
      <c r="A7" s="3" t="s">
        <v>96</v>
      </c>
      <c r="B7" s="3" t="s">
        <v>103</v>
      </c>
      <c r="C7" s="53">
        <v>9</v>
      </c>
      <c r="D7" s="21">
        <v>2</v>
      </c>
      <c r="E7" s="3">
        <v>2</v>
      </c>
      <c r="F7" s="55" t="str">
        <f t="shared" si="2"/>
        <v/>
      </c>
      <c r="G7" s="3">
        <v>3</v>
      </c>
      <c r="H7" s="3">
        <v>2</v>
      </c>
      <c r="I7" s="3">
        <v>2</v>
      </c>
      <c r="J7" s="3"/>
      <c r="K7" s="3"/>
      <c r="L7" s="55">
        <f>IF(SUM(G7:K7)=0,"",SUM(G7:K7))</f>
        <v>7</v>
      </c>
      <c r="M7" s="55">
        <f t="shared" si="1"/>
        <v>0</v>
      </c>
    </row>
    <row r="8" spans="1:14">
      <c r="A8" s="3" t="s">
        <v>96</v>
      </c>
      <c r="B8" s="3" t="s">
        <v>104</v>
      </c>
      <c r="C8" s="53">
        <v>0</v>
      </c>
      <c r="D8" s="21">
        <v>0</v>
      </c>
      <c r="E8" s="3"/>
      <c r="F8" s="55" t="str">
        <f t="shared" si="2"/>
        <v/>
      </c>
      <c r="G8" s="3"/>
      <c r="H8" s="3"/>
      <c r="I8" s="3"/>
      <c r="J8" s="3"/>
      <c r="K8" s="3"/>
      <c r="L8" s="55" t="str">
        <f t="shared" si="0"/>
        <v/>
      </c>
      <c r="M8" s="55" t="str">
        <f t="shared" si="1"/>
        <v/>
      </c>
    </row>
    <row r="9" spans="1:14">
      <c r="A9" s="3" t="s">
        <v>96</v>
      </c>
      <c r="B9" s="3" t="s">
        <v>105</v>
      </c>
      <c r="C9" s="53">
        <v>3</v>
      </c>
      <c r="D9" s="21">
        <v>3</v>
      </c>
      <c r="E9" s="3">
        <v>3</v>
      </c>
      <c r="F9" s="55" t="str">
        <f t="shared" si="2"/>
        <v/>
      </c>
      <c r="G9" s="3"/>
      <c r="H9" s="3"/>
      <c r="I9" s="3"/>
      <c r="J9" s="3"/>
      <c r="K9" s="3"/>
      <c r="L9" s="55" t="str">
        <f t="shared" si="0"/>
        <v/>
      </c>
      <c r="M9" s="55" t="str">
        <f t="shared" si="1"/>
        <v/>
      </c>
    </row>
    <row r="10" spans="1:14">
      <c r="A10" s="3" t="s">
        <v>96</v>
      </c>
      <c r="B10" s="3" t="s">
        <v>106</v>
      </c>
      <c r="C10" s="21">
        <v>1</v>
      </c>
      <c r="D10" s="21">
        <v>1</v>
      </c>
      <c r="E10" s="3">
        <v>1</v>
      </c>
      <c r="F10" s="55" t="str">
        <f t="shared" si="2"/>
        <v/>
      </c>
      <c r="G10" s="3"/>
      <c r="H10" s="3"/>
      <c r="I10" s="3"/>
      <c r="J10" s="3"/>
      <c r="K10" s="3"/>
      <c r="L10" s="55" t="str">
        <f t="shared" si="0"/>
        <v/>
      </c>
      <c r="M10" s="55" t="str">
        <f t="shared" si="1"/>
        <v/>
      </c>
      <c r="N10" s="1">
        <f>SUM(D2:D10)+SUM(L2:L10)</f>
        <v>26</v>
      </c>
    </row>
    <row r="11" spans="1:14">
      <c r="A11" s="3"/>
      <c r="B11" s="3" t="s">
        <v>107</v>
      </c>
      <c r="C11" s="54">
        <f>SUM(C2:C10)</f>
        <v>26</v>
      </c>
      <c r="D11" s="54">
        <f t="shared" ref="D11:M11" si="3">SUM(D2:D10)</f>
        <v>10</v>
      </c>
      <c r="E11" s="54">
        <f t="shared" si="3"/>
        <v>9</v>
      </c>
      <c r="F11" s="54">
        <f t="shared" si="3"/>
        <v>1</v>
      </c>
      <c r="G11" s="54">
        <f t="shared" si="3"/>
        <v>8</v>
      </c>
      <c r="H11" s="54">
        <f t="shared" si="3"/>
        <v>5</v>
      </c>
      <c r="I11" s="54">
        <f t="shared" si="3"/>
        <v>2</v>
      </c>
      <c r="J11" s="54">
        <f t="shared" si="3"/>
        <v>1</v>
      </c>
      <c r="K11" s="54">
        <f t="shared" si="3"/>
        <v>0</v>
      </c>
      <c r="L11" s="54">
        <f t="shared" si="3"/>
        <v>16</v>
      </c>
      <c r="M11" s="54">
        <f t="shared" si="3"/>
        <v>0</v>
      </c>
      <c r="N11" s="54"/>
    </row>
    <row r="12" spans="1:14">
      <c r="A12" s="3"/>
      <c r="B12" s="3"/>
      <c r="C12" s="3"/>
      <c r="D12" s="3"/>
      <c r="E12" s="3"/>
      <c r="F12" s="3"/>
      <c r="G12" s="3"/>
      <c r="H12" s="3"/>
      <c r="I12" s="3"/>
      <c r="J12" s="3"/>
      <c r="K12" s="3"/>
      <c r="L12" s="3"/>
      <c r="M12" s="3"/>
      <c r="N12" s="3"/>
    </row>
    <row r="13" spans="1:14">
      <c r="A13" s="3" t="s">
        <v>108</v>
      </c>
      <c r="B13" s="3" t="s">
        <v>97</v>
      </c>
      <c r="C13" s="53">
        <v>1</v>
      </c>
      <c r="D13" s="21">
        <v>1</v>
      </c>
      <c r="E13" s="3">
        <v>1</v>
      </c>
      <c r="F13" s="55" t="str">
        <f>IF(D13&gt;0, IF(D13-E13=0,"",D13-E13), IF(E13&gt;0,E13,""))</f>
        <v/>
      </c>
      <c r="G13" s="3"/>
      <c r="H13" s="3"/>
      <c r="I13" s="3"/>
      <c r="J13" s="3"/>
      <c r="K13" s="3"/>
      <c r="L13" s="55" t="str">
        <f t="shared" ref="L13:L17" si="4">IF(SUM(G13:K13)=0,"",SUM(G13:K13))</f>
        <v/>
      </c>
      <c r="M13" s="55" t="str">
        <f t="shared" ref="M13:M14" si="5">IF(C13=D13,"",IF(L13="", "", C13-(D13+L13)))</f>
        <v/>
      </c>
    </row>
    <row r="14" spans="1:14">
      <c r="A14" s="3" t="s">
        <v>108</v>
      </c>
      <c r="B14" s="3" t="s">
        <v>98</v>
      </c>
      <c r="C14" s="53">
        <v>1</v>
      </c>
      <c r="D14" s="21"/>
      <c r="E14" s="3"/>
      <c r="F14" s="55" t="str">
        <f>IF(D14&gt;0, IF(D14-E14=0,"",D14-E14), IF(E14&gt;0,E14,""))</f>
        <v/>
      </c>
      <c r="G14" s="3"/>
      <c r="H14" s="3"/>
      <c r="I14" s="3">
        <v>1</v>
      </c>
      <c r="J14" s="64" t="s">
        <v>109</v>
      </c>
      <c r="K14" s="3"/>
      <c r="L14" s="55">
        <f t="shared" si="4"/>
        <v>1</v>
      </c>
      <c r="M14" s="55">
        <f t="shared" si="5"/>
        <v>0</v>
      </c>
    </row>
    <row r="15" spans="1:14">
      <c r="A15" s="3" t="s">
        <v>108</v>
      </c>
      <c r="B15" s="3" t="s">
        <v>100</v>
      </c>
      <c r="C15" s="53">
        <v>4</v>
      </c>
      <c r="D15" s="21">
        <v>1</v>
      </c>
      <c r="E15" s="3"/>
      <c r="F15" s="55">
        <f t="shared" ref="F15:F20" si="6">IF(D15&gt;0, IF(D15-E15=0,"",D15-E15), IF(E15&gt;0,E15,""))</f>
        <v>1</v>
      </c>
      <c r="G15" s="3">
        <v>1</v>
      </c>
      <c r="H15" s="3"/>
      <c r="I15" s="3">
        <v>1</v>
      </c>
      <c r="J15" s="3">
        <v>1</v>
      </c>
      <c r="K15" s="3"/>
      <c r="L15" s="55">
        <f t="shared" si="4"/>
        <v>3</v>
      </c>
      <c r="M15" s="55">
        <f>IF(C15=D15,"",IF(L15="", "", C15-(D15+L15)))</f>
        <v>0</v>
      </c>
    </row>
    <row r="16" spans="1:14">
      <c r="A16" s="3" t="s">
        <v>108</v>
      </c>
      <c r="B16" s="3" t="s">
        <v>101</v>
      </c>
      <c r="C16" s="53">
        <v>3</v>
      </c>
      <c r="D16" s="21">
        <v>1</v>
      </c>
      <c r="E16" s="3">
        <v>1</v>
      </c>
      <c r="F16" s="55" t="str">
        <f t="shared" si="6"/>
        <v/>
      </c>
      <c r="G16" s="3"/>
      <c r="H16" s="3"/>
      <c r="I16" s="3">
        <v>1</v>
      </c>
      <c r="J16" s="3">
        <v>1</v>
      </c>
      <c r="K16" s="3"/>
      <c r="L16" s="55">
        <f t="shared" si="4"/>
        <v>2</v>
      </c>
      <c r="M16" s="55">
        <f t="shared" ref="M16:M21" si="7">IF(C16=D16,"",IF(L16="", "", C16-(D16+L16)))</f>
        <v>0</v>
      </c>
    </row>
    <row r="17" spans="1:14">
      <c r="A17" s="3" t="s">
        <v>108</v>
      </c>
      <c r="B17" s="3" t="s">
        <v>102</v>
      </c>
      <c r="C17" s="53">
        <v>5</v>
      </c>
      <c r="D17" s="21">
        <v>1</v>
      </c>
      <c r="E17" s="3">
        <v>1</v>
      </c>
      <c r="F17" s="55" t="str">
        <f t="shared" si="6"/>
        <v/>
      </c>
      <c r="G17" s="3">
        <v>1</v>
      </c>
      <c r="H17" s="3"/>
      <c r="I17" s="3"/>
      <c r="J17" s="61">
        <v>3</v>
      </c>
      <c r="K17" s="3"/>
      <c r="L17" s="55">
        <f t="shared" si="4"/>
        <v>4</v>
      </c>
      <c r="M17" s="55">
        <f t="shared" si="7"/>
        <v>0</v>
      </c>
    </row>
    <row r="18" spans="1:14">
      <c r="A18" s="3" t="s">
        <v>108</v>
      </c>
      <c r="B18" s="3" t="s">
        <v>103</v>
      </c>
      <c r="C18" s="53">
        <v>10</v>
      </c>
      <c r="D18" s="21">
        <v>2</v>
      </c>
      <c r="E18" s="3">
        <v>2</v>
      </c>
      <c r="F18" s="55" t="str">
        <f t="shared" si="6"/>
        <v/>
      </c>
      <c r="G18" s="3">
        <v>2</v>
      </c>
      <c r="H18" s="3">
        <v>1</v>
      </c>
      <c r="I18" s="3">
        <v>2</v>
      </c>
      <c r="J18" s="3">
        <v>3</v>
      </c>
      <c r="K18" s="3"/>
      <c r="L18" s="55">
        <f>IF(SUM(G18:K18)=0,"",SUM(G18:K18))</f>
        <v>8</v>
      </c>
      <c r="M18" s="55">
        <f t="shared" si="7"/>
        <v>0</v>
      </c>
    </row>
    <row r="19" spans="1:14">
      <c r="A19" s="3" t="s">
        <v>108</v>
      </c>
      <c r="B19" s="3" t="s">
        <v>104</v>
      </c>
      <c r="C19" s="53">
        <v>0</v>
      </c>
      <c r="D19" s="21">
        <v>0</v>
      </c>
      <c r="E19" s="3"/>
      <c r="F19" s="55" t="str">
        <f t="shared" si="6"/>
        <v/>
      </c>
      <c r="G19" s="3"/>
      <c r="H19" s="3"/>
      <c r="I19" s="3"/>
      <c r="J19" s="3"/>
      <c r="K19" s="3"/>
      <c r="L19" s="55" t="str">
        <f t="shared" ref="L19:L21" si="8">IF(SUM(G19:K19)=0,"",SUM(G19:K19))</f>
        <v/>
      </c>
      <c r="M19" s="55" t="str">
        <f t="shared" si="7"/>
        <v/>
      </c>
    </row>
    <row r="20" spans="1:14">
      <c r="A20" s="3" t="s">
        <v>108</v>
      </c>
      <c r="B20" s="3" t="s">
        <v>105</v>
      </c>
      <c r="C20" s="53">
        <v>2</v>
      </c>
      <c r="D20" s="21">
        <v>2</v>
      </c>
      <c r="E20" s="3">
        <v>2</v>
      </c>
      <c r="F20" s="55" t="str">
        <f t="shared" si="6"/>
        <v/>
      </c>
      <c r="G20" s="3"/>
      <c r="H20" s="3"/>
      <c r="I20" s="3"/>
      <c r="J20" s="3"/>
      <c r="K20" s="3"/>
      <c r="L20" s="55" t="str">
        <f t="shared" si="8"/>
        <v/>
      </c>
      <c r="M20" s="55" t="str">
        <f t="shared" si="7"/>
        <v/>
      </c>
    </row>
    <row r="21" spans="1:14">
      <c r="A21" s="3" t="s">
        <v>108</v>
      </c>
      <c r="B21" s="3" t="s">
        <v>106</v>
      </c>
      <c r="C21" s="21">
        <v>0</v>
      </c>
      <c r="D21" s="21"/>
      <c r="E21" s="3"/>
      <c r="F21" s="55"/>
      <c r="G21" s="3"/>
      <c r="H21" s="3"/>
      <c r="I21" s="3"/>
      <c r="J21" s="3"/>
      <c r="K21" s="3"/>
      <c r="L21" s="55" t="str">
        <f t="shared" si="8"/>
        <v/>
      </c>
      <c r="M21" s="55" t="str">
        <f t="shared" si="7"/>
        <v/>
      </c>
      <c r="N21" s="1">
        <f>SUM(D13:D21)+SUM(L13:L21)</f>
        <v>26</v>
      </c>
    </row>
    <row r="22" spans="1:14">
      <c r="B22" s="3" t="s">
        <v>110</v>
      </c>
      <c r="C22" s="54">
        <f>SUM(C13:C21)</f>
        <v>26</v>
      </c>
      <c r="D22" s="54">
        <f t="shared" ref="D22:M22" si="9">SUM(D13:D21)</f>
        <v>8</v>
      </c>
      <c r="E22" s="54">
        <f t="shared" si="9"/>
        <v>7</v>
      </c>
      <c r="F22" s="54">
        <f t="shared" si="9"/>
        <v>1</v>
      </c>
      <c r="G22" s="54">
        <f t="shared" si="9"/>
        <v>4</v>
      </c>
      <c r="H22" s="54">
        <f t="shared" si="9"/>
        <v>1</v>
      </c>
      <c r="I22" s="54">
        <f t="shared" si="9"/>
        <v>5</v>
      </c>
      <c r="J22" s="54">
        <f t="shared" si="9"/>
        <v>8</v>
      </c>
      <c r="K22" s="54">
        <f t="shared" si="9"/>
        <v>0</v>
      </c>
      <c r="L22" s="54">
        <f t="shared" si="9"/>
        <v>18</v>
      </c>
      <c r="M22" s="54">
        <f t="shared" si="9"/>
        <v>0</v>
      </c>
      <c r="N22" s="54"/>
    </row>
    <row r="24" spans="1:14">
      <c r="A24" s="3" t="s">
        <v>111</v>
      </c>
      <c r="B24" s="3" t="s">
        <v>97</v>
      </c>
      <c r="C24" s="53">
        <v>1</v>
      </c>
      <c r="D24" s="21">
        <v>1</v>
      </c>
      <c r="E24" s="3">
        <v>1</v>
      </c>
      <c r="F24" s="55" t="str">
        <f>IF(D24&gt;0, IF(D24-E24=0,"",D24-E24), IF(E24&gt;0,E24,""))</f>
        <v/>
      </c>
      <c r="G24" s="3"/>
      <c r="H24" s="3"/>
      <c r="I24" s="3"/>
      <c r="J24" s="3"/>
      <c r="K24" s="3"/>
      <c r="L24" s="55" t="str">
        <f t="shared" ref="L24:L28" si="10">IF(SUM(G24:K24)=0,"",SUM(G24:K24))</f>
        <v/>
      </c>
      <c r="M24" s="55" t="str">
        <f t="shared" ref="M24:M25" si="11">IF(C24=D24,"",IF(L24="", "", C24-(D24+L24)))</f>
        <v/>
      </c>
    </row>
    <row r="25" spans="1:14">
      <c r="A25" s="3" t="s">
        <v>111</v>
      </c>
      <c r="B25" s="3" t="s">
        <v>98</v>
      </c>
      <c r="C25" s="53">
        <v>1</v>
      </c>
      <c r="D25" s="21"/>
      <c r="E25" s="3"/>
      <c r="F25" s="55" t="str">
        <f>IF(D25&gt;0, IF(D25-E25=0,"",D25-E25), IF(E25&gt;0,E25,""))</f>
        <v/>
      </c>
      <c r="G25" s="3"/>
      <c r="H25" s="3"/>
      <c r="I25" s="3"/>
      <c r="J25" s="3">
        <v>1</v>
      </c>
      <c r="K25" s="3"/>
      <c r="L25" s="55">
        <f t="shared" si="10"/>
        <v>1</v>
      </c>
      <c r="M25" s="55">
        <f t="shared" si="11"/>
        <v>0</v>
      </c>
    </row>
    <row r="26" spans="1:14">
      <c r="A26" s="3" t="s">
        <v>111</v>
      </c>
      <c r="B26" s="3" t="s">
        <v>100</v>
      </c>
      <c r="C26" s="53">
        <v>5</v>
      </c>
      <c r="D26" s="21">
        <v>1</v>
      </c>
      <c r="E26" s="3">
        <v>1</v>
      </c>
      <c r="F26" s="55" t="str">
        <f t="shared" ref="F26:F32" si="12">IF(D26&gt;0, IF(D26-E26=0,"",D26-E26), IF(E26&gt;0,E26,""))</f>
        <v/>
      </c>
      <c r="G26" s="3">
        <v>1</v>
      </c>
      <c r="H26" s="3"/>
      <c r="I26" s="3">
        <v>1</v>
      </c>
      <c r="J26" s="3">
        <v>2</v>
      </c>
      <c r="K26" s="3"/>
      <c r="L26" s="55">
        <f t="shared" si="10"/>
        <v>4</v>
      </c>
      <c r="M26" s="55">
        <f>IF(C26=D26,"",IF(L26="", "", C26-(D26+L26)))</f>
        <v>0</v>
      </c>
    </row>
    <row r="27" spans="1:14">
      <c r="A27" s="3" t="s">
        <v>111</v>
      </c>
      <c r="B27" s="3" t="s">
        <v>101</v>
      </c>
      <c r="C27" s="53">
        <v>2</v>
      </c>
      <c r="D27" s="21">
        <v>1</v>
      </c>
      <c r="E27" s="3"/>
      <c r="F27" s="62">
        <f t="shared" si="12"/>
        <v>1</v>
      </c>
      <c r="G27" s="3"/>
      <c r="H27" s="3"/>
      <c r="I27" s="3">
        <v>1</v>
      </c>
      <c r="J27" s="3"/>
      <c r="K27" s="3"/>
      <c r="L27" s="55">
        <f t="shared" si="10"/>
        <v>1</v>
      </c>
      <c r="M27" s="55">
        <f t="shared" ref="M27:M32" si="13">IF(C27=D27,"",IF(L27="", "", C27-(D27+L27)))</f>
        <v>0</v>
      </c>
    </row>
    <row r="28" spans="1:14">
      <c r="A28" s="3" t="s">
        <v>111</v>
      </c>
      <c r="B28" s="3" t="s">
        <v>102</v>
      </c>
      <c r="C28" s="53">
        <v>5</v>
      </c>
      <c r="D28" s="21">
        <v>1</v>
      </c>
      <c r="E28" s="3">
        <v>1</v>
      </c>
      <c r="F28" s="55" t="str">
        <f t="shared" si="12"/>
        <v/>
      </c>
      <c r="G28" s="3"/>
      <c r="H28" s="3"/>
      <c r="I28" s="3">
        <v>1</v>
      </c>
      <c r="J28" s="61">
        <v>3</v>
      </c>
      <c r="K28" s="3"/>
      <c r="L28" s="55">
        <f t="shared" si="10"/>
        <v>4</v>
      </c>
      <c r="M28" s="55">
        <f t="shared" si="13"/>
        <v>0</v>
      </c>
    </row>
    <row r="29" spans="1:14">
      <c r="A29" s="3" t="s">
        <v>111</v>
      </c>
      <c r="B29" s="3" t="s">
        <v>103</v>
      </c>
      <c r="C29" s="53">
        <v>10</v>
      </c>
      <c r="D29" s="21">
        <v>2</v>
      </c>
      <c r="E29" s="3">
        <v>2</v>
      </c>
      <c r="F29" s="55" t="str">
        <f t="shared" si="12"/>
        <v/>
      </c>
      <c r="G29" s="3">
        <v>1</v>
      </c>
      <c r="H29" s="3">
        <v>1</v>
      </c>
      <c r="I29" s="3">
        <v>2</v>
      </c>
      <c r="J29" s="3">
        <v>4</v>
      </c>
      <c r="K29" s="3"/>
      <c r="L29" s="55">
        <f>IF(SUM(G29:K29)=0,"",SUM(G29:K29))</f>
        <v>8</v>
      </c>
      <c r="M29" s="55">
        <f t="shared" si="13"/>
        <v>0</v>
      </c>
    </row>
    <row r="30" spans="1:14">
      <c r="A30" s="3" t="s">
        <v>111</v>
      </c>
      <c r="B30" s="3" t="s">
        <v>104</v>
      </c>
      <c r="C30" s="53">
        <v>0</v>
      </c>
      <c r="D30" s="21">
        <v>0</v>
      </c>
      <c r="E30" s="3"/>
      <c r="F30" s="55" t="str">
        <f t="shared" si="12"/>
        <v/>
      </c>
      <c r="G30" s="3"/>
      <c r="H30" s="3"/>
      <c r="I30" s="3"/>
      <c r="J30" s="3"/>
      <c r="K30" s="3"/>
      <c r="L30" s="55" t="str">
        <f t="shared" ref="L30:L32" si="14">IF(SUM(G30:K30)=0,"",SUM(G30:K30))</f>
        <v/>
      </c>
      <c r="M30" s="55" t="str">
        <f t="shared" si="13"/>
        <v/>
      </c>
    </row>
    <row r="31" spans="1:14">
      <c r="A31" s="3" t="s">
        <v>111</v>
      </c>
      <c r="B31" s="3" t="s">
        <v>105</v>
      </c>
      <c r="C31" s="53">
        <v>2</v>
      </c>
      <c r="D31" s="21">
        <v>2</v>
      </c>
      <c r="E31" s="3">
        <v>2</v>
      </c>
      <c r="F31" s="55" t="str">
        <f t="shared" si="12"/>
        <v/>
      </c>
      <c r="G31" s="3"/>
      <c r="H31" s="3"/>
      <c r="I31" s="3"/>
      <c r="J31" s="3"/>
      <c r="K31" s="3"/>
      <c r="L31" s="55" t="str">
        <f t="shared" si="14"/>
        <v/>
      </c>
      <c r="M31" s="55" t="str">
        <f t="shared" si="13"/>
        <v/>
      </c>
    </row>
    <row r="32" spans="1:14">
      <c r="A32" s="3" t="s">
        <v>111</v>
      </c>
      <c r="B32" s="3" t="s">
        <v>106</v>
      </c>
      <c r="C32" s="21">
        <v>0</v>
      </c>
      <c r="D32" s="21"/>
      <c r="E32" s="3"/>
      <c r="F32" s="55" t="str">
        <f t="shared" si="12"/>
        <v/>
      </c>
      <c r="G32" s="3"/>
      <c r="H32" s="3"/>
      <c r="I32" s="3"/>
      <c r="J32" s="3"/>
      <c r="K32" s="3"/>
      <c r="L32" s="55" t="str">
        <f t="shared" si="14"/>
        <v/>
      </c>
      <c r="M32" s="55" t="str">
        <f t="shared" si="13"/>
        <v/>
      </c>
      <c r="N32" s="1">
        <f>SUM(D24:D32)+SUM(L24:L32)</f>
        <v>26</v>
      </c>
    </row>
    <row r="33" spans="2:14">
      <c r="B33" s="3" t="s">
        <v>112</v>
      </c>
      <c r="C33" s="54">
        <f>SUM(C24:C32)</f>
        <v>26</v>
      </c>
      <c r="D33" s="54">
        <f t="shared" ref="D33:M33" si="15">SUM(D24:D32)</f>
        <v>8</v>
      </c>
      <c r="E33" s="54">
        <f t="shared" si="15"/>
        <v>7</v>
      </c>
      <c r="F33" s="54">
        <f t="shared" si="15"/>
        <v>1</v>
      </c>
      <c r="G33" s="54">
        <f t="shared" si="15"/>
        <v>2</v>
      </c>
      <c r="H33" s="54">
        <f t="shared" si="15"/>
        <v>1</v>
      </c>
      <c r="I33" s="54">
        <f t="shared" si="15"/>
        <v>5</v>
      </c>
      <c r="J33" s="54">
        <f t="shared" si="15"/>
        <v>10</v>
      </c>
      <c r="K33" s="54">
        <f t="shared" si="15"/>
        <v>0</v>
      </c>
      <c r="L33" s="54">
        <f t="shared" si="15"/>
        <v>18</v>
      </c>
      <c r="M33" s="54">
        <f t="shared" si="15"/>
        <v>0</v>
      </c>
      <c r="N33" s="54"/>
    </row>
  </sheetData>
  <phoneticPr fontId="19"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73"/>
  <sheetViews>
    <sheetView tabSelected="1" topLeftCell="A54" zoomScale="110" zoomScaleNormal="110" workbookViewId="0">
      <selection activeCell="C68" sqref="C68"/>
    </sheetView>
  </sheetViews>
  <sheetFormatPr defaultColWidth="8.85546875" defaultRowHeight="15"/>
  <cols>
    <col min="1" max="1" width="10.85546875" bestFit="1" customWidth="1"/>
    <col min="2" max="2" width="28.7109375" bestFit="1" customWidth="1"/>
    <col min="3" max="3" width="36" style="16" customWidth="1"/>
    <col min="4" max="4" width="31.42578125" bestFit="1" customWidth="1"/>
    <col min="5" max="5" width="4.140625" bestFit="1" customWidth="1"/>
    <col min="6" max="6" width="12" bestFit="1" customWidth="1"/>
    <col min="7" max="7" width="14" bestFit="1" customWidth="1"/>
  </cols>
  <sheetData>
    <row r="1" spans="1:7">
      <c r="A1" s="3" t="s">
        <v>113</v>
      </c>
      <c r="B1" s="3" t="s">
        <v>114</v>
      </c>
      <c r="C1" s="15" t="s">
        <v>115</v>
      </c>
      <c r="D1" s="3" t="s">
        <v>116</v>
      </c>
      <c r="E1" s="3" t="s">
        <v>117</v>
      </c>
      <c r="F1" s="3" t="s">
        <v>118</v>
      </c>
      <c r="G1" s="3" t="s">
        <v>119</v>
      </c>
    </row>
    <row r="2" spans="1:7">
      <c r="A2" s="3" t="s">
        <v>96</v>
      </c>
      <c r="B2" s="3" t="s">
        <v>120</v>
      </c>
      <c r="C2" s="3" t="s">
        <v>97</v>
      </c>
      <c r="D2" s="7" t="s">
        <v>121</v>
      </c>
      <c r="E2" s="3" t="s">
        <v>122</v>
      </c>
      <c r="F2" s="3" t="s">
        <v>123</v>
      </c>
      <c r="G2" s="3" t="s">
        <v>124</v>
      </c>
    </row>
    <row r="3" spans="1:7">
      <c r="A3" s="3" t="s">
        <v>96</v>
      </c>
      <c r="B3" s="3" t="s">
        <v>125</v>
      </c>
      <c r="C3" s="3" t="s">
        <v>126</v>
      </c>
      <c r="D3" s="8" t="s">
        <v>127</v>
      </c>
      <c r="E3" s="3" t="s">
        <v>128</v>
      </c>
      <c r="F3" s="3" t="s">
        <v>123</v>
      </c>
      <c r="G3" s="3" t="s">
        <v>129</v>
      </c>
    </row>
    <row r="4" spans="1:7">
      <c r="A4" s="3" t="s">
        <v>96</v>
      </c>
      <c r="B4" s="3" t="s">
        <v>130</v>
      </c>
      <c r="C4" s="3" t="s">
        <v>126</v>
      </c>
      <c r="D4" s="8" t="s">
        <v>131</v>
      </c>
      <c r="E4" s="3" t="s">
        <v>122</v>
      </c>
      <c r="F4" s="3" t="s">
        <v>123</v>
      </c>
      <c r="G4" s="3" t="s">
        <v>129</v>
      </c>
    </row>
    <row r="5" spans="1:7">
      <c r="A5" s="3" t="s">
        <v>96</v>
      </c>
      <c r="B5" s="3" t="s">
        <v>132</v>
      </c>
      <c r="C5" s="3" t="s">
        <v>133</v>
      </c>
      <c r="D5" s="8" t="s">
        <v>134</v>
      </c>
      <c r="E5" s="3" t="s">
        <v>122</v>
      </c>
      <c r="F5" s="3" t="s">
        <v>123</v>
      </c>
      <c r="G5" s="3" t="s">
        <v>135</v>
      </c>
    </row>
    <row r="6" spans="1:7">
      <c r="A6" s="3" t="s">
        <v>96</v>
      </c>
      <c r="B6" s="3" t="s">
        <v>136</v>
      </c>
      <c r="C6" s="3" t="s">
        <v>137</v>
      </c>
      <c r="D6" s="8" t="s">
        <v>138</v>
      </c>
      <c r="E6" s="3" t="s">
        <v>128</v>
      </c>
      <c r="F6" s="3" t="s">
        <v>123</v>
      </c>
      <c r="G6" s="3" t="s">
        <v>129</v>
      </c>
    </row>
    <row r="7" spans="1:7">
      <c r="A7" s="3" t="s">
        <v>96</v>
      </c>
      <c r="B7" s="3" t="s">
        <v>139</v>
      </c>
      <c r="C7" s="3" t="s">
        <v>140</v>
      </c>
      <c r="D7" s="8" t="s">
        <v>141</v>
      </c>
      <c r="E7" s="3" t="s">
        <v>122</v>
      </c>
      <c r="F7" s="3" t="s">
        <v>123</v>
      </c>
      <c r="G7" s="3" t="s">
        <v>129</v>
      </c>
    </row>
    <row r="8" spans="1:7">
      <c r="A8" s="3" t="s">
        <v>96</v>
      </c>
      <c r="B8" s="3" t="s">
        <v>142</v>
      </c>
      <c r="C8" s="3" t="s">
        <v>143</v>
      </c>
      <c r="D8" s="8" t="s">
        <v>144</v>
      </c>
      <c r="E8" s="3" t="s">
        <v>122</v>
      </c>
      <c r="F8" s="3" t="s">
        <v>123</v>
      </c>
      <c r="G8" s="3" t="s">
        <v>129</v>
      </c>
    </row>
    <row r="9" spans="1:7">
      <c r="A9" s="3" t="s">
        <v>96</v>
      </c>
      <c r="B9" s="3" t="s">
        <v>145</v>
      </c>
      <c r="C9" s="3" t="s">
        <v>146</v>
      </c>
      <c r="D9" s="8"/>
      <c r="E9" s="3" t="s">
        <v>122</v>
      </c>
      <c r="F9" s="3" t="s">
        <v>123</v>
      </c>
      <c r="G9" s="3" t="s">
        <v>129</v>
      </c>
    </row>
    <row r="10" spans="1:7">
      <c r="A10" s="3" t="s">
        <v>96</v>
      </c>
      <c r="B10" s="3" t="s">
        <v>147</v>
      </c>
      <c r="C10" s="3" t="s">
        <v>98</v>
      </c>
      <c r="D10" s="8" t="s">
        <v>148</v>
      </c>
      <c r="E10" s="3" t="s">
        <v>122</v>
      </c>
      <c r="F10" s="3" t="s">
        <v>149</v>
      </c>
      <c r="G10" s="3" t="s">
        <v>150</v>
      </c>
    </row>
    <row r="11" spans="1:7">
      <c r="A11" s="3" t="s">
        <v>96</v>
      </c>
      <c r="B11" s="3" t="s">
        <v>151</v>
      </c>
      <c r="C11" s="3" t="s">
        <v>98</v>
      </c>
      <c r="D11" s="8" t="s">
        <v>152</v>
      </c>
      <c r="E11" s="3"/>
      <c r="F11" s="3" t="s">
        <v>153</v>
      </c>
      <c r="G11" s="3" t="s">
        <v>154</v>
      </c>
    </row>
    <row r="12" spans="1:7">
      <c r="A12" s="3" t="s">
        <v>96</v>
      </c>
      <c r="B12" s="3" t="s">
        <v>155</v>
      </c>
      <c r="C12" s="3" t="s">
        <v>156</v>
      </c>
      <c r="D12" s="8" t="s">
        <v>157</v>
      </c>
      <c r="E12" s="3" t="s">
        <v>122</v>
      </c>
      <c r="F12" s="3" t="s">
        <v>149</v>
      </c>
      <c r="G12" s="3" t="s">
        <v>150</v>
      </c>
    </row>
    <row r="13" spans="1:7">
      <c r="A13" s="3" t="s">
        <v>96</v>
      </c>
      <c r="B13" s="3" t="s">
        <v>158</v>
      </c>
      <c r="C13" s="3" t="s">
        <v>159</v>
      </c>
      <c r="D13" s="8" t="s">
        <v>160</v>
      </c>
      <c r="E13" s="3" t="s">
        <v>122</v>
      </c>
      <c r="F13" s="3" t="s">
        <v>149</v>
      </c>
      <c r="G13" s="3" t="s">
        <v>150</v>
      </c>
    </row>
    <row r="14" spans="1:7">
      <c r="A14" s="3" t="s">
        <v>96</v>
      </c>
      <c r="B14" s="3" t="s">
        <v>161</v>
      </c>
      <c r="C14" s="3" t="s">
        <v>159</v>
      </c>
      <c r="D14" s="8" t="s">
        <v>162</v>
      </c>
      <c r="E14" s="3" t="s">
        <v>122</v>
      </c>
      <c r="F14" s="3" t="s">
        <v>149</v>
      </c>
      <c r="G14" s="3" t="s">
        <v>150</v>
      </c>
    </row>
    <row r="15" spans="1:7" ht="16.5" customHeight="1">
      <c r="A15" s="3" t="s">
        <v>96</v>
      </c>
      <c r="B15" s="3" t="s">
        <v>163</v>
      </c>
      <c r="C15" s="3" t="s">
        <v>164</v>
      </c>
      <c r="D15" s="8" t="s">
        <v>165</v>
      </c>
      <c r="E15" s="3" t="s">
        <v>122</v>
      </c>
      <c r="F15" s="3" t="s">
        <v>149</v>
      </c>
      <c r="G15" s="3" t="s">
        <v>150</v>
      </c>
    </row>
    <row r="16" spans="1:7">
      <c r="A16" s="3" t="s">
        <v>96</v>
      </c>
      <c r="B16" s="3" t="s">
        <v>166</v>
      </c>
      <c r="C16" s="3" t="s">
        <v>164</v>
      </c>
      <c r="D16" s="8" t="s">
        <v>167</v>
      </c>
      <c r="E16" t="s">
        <v>122</v>
      </c>
      <c r="F16" t="s">
        <v>168</v>
      </c>
      <c r="G16" t="s">
        <v>169</v>
      </c>
    </row>
    <row r="17" spans="1:7">
      <c r="A17" s="3" t="s">
        <v>96</v>
      </c>
      <c r="B17" s="3" t="s">
        <v>170</v>
      </c>
      <c r="C17" s="3" t="s">
        <v>164</v>
      </c>
      <c r="D17" s="8" t="s">
        <v>171</v>
      </c>
      <c r="E17" t="s">
        <v>122</v>
      </c>
      <c r="F17" t="s">
        <v>168</v>
      </c>
      <c r="G17" t="s">
        <v>169</v>
      </c>
    </row>
    <row r="18" spans="1:7">
      <c r="A18" s="3" t="s">
        <v>96</v>
      </c>
      <c r="B18" s="3" t="s">
        <v>172</v>
      </c>
      <c r="C18" s="3" t="s">
        <v>156</v>
      </c>
      <c r="D18" s="8" t="s">
        <v>173</v>
      </c>
      <c r="E18" s="3" t="s">
        <v>174</v>
      </c>
      <c r="F18" s="3" t="s">
        <v>153</v>
      </c>
      <c r="G18" s="3" t="s">
        <v>154</v>
      </c>
    </row>
    <row r="19" spans="1:7">
      <c r="A19" s="3" t="s">
        <v>96</v>
      </c>
      <c r="B19" s="3" t="s">
        <v>175</v>
      </c>
      <c r="C19" s="3" t="s">
        <v>176</v>
      </c>
      <c r="D19" s="8" t="s">
        <v>177</v>
      </c>
      <c r="E19" s="3" t="s">
        <v>174</v>
      </c>
      <c r="F19" s="3" t="s">
        <v>153</v>
      </c>
      <c r="G19" s="3" t="s">
        <v>154</v>
      </c>
    </row>
    <row r="20" spans="1:7">
      <c r="A20" s="3" t="s">
        <v>96</v>
      </c>
      <c r="B20" s="3" t="s">
        <v>178</v>
      </c>
      <c r="C20" s="3" t="s">
        <v>159</v>
      </c>
      <c r="D20" s="8" t="s">
        <v>179</v>
      </c>
      <c r="E20" s="3" t="s">
        <v>174</v>
      </c>
      <c r="F20" s="3" t="s">
        <v>153</v>
      </c>
      <c r="G20" s="3" t="s">
        <v>154</v>
      </c>
    </row>
    <row r="21" spans="1:7">
      <c r="A21" s="3" t="s">
        <v>96</v>
      </c>
      <c r="B21" s="3" t="s">
        <v>180</v>
      </c>
      <c r="C21" s="3" t="s">
        <v>159</v>
      </c>
      <c r="D21" s="8" t="s">
        <v>181</v>
      </c>
      <c r="E21" s="3" t="s">
        <v>174</v>
      </c>
      <c r="F21" s="3" t="s">
        <v>153</v>
      </c>
      <c r="G21" s="3" t="s">
        <v>154</v>
      </c>
    </row>
    <row r="22" spans="1:7">
      <c r="A22" s="3" t="s">
        <v>96</v>
      </c>
      <c r="B22" s="3" t="s">
        <v>182</v>
      </c>
      <c r="C22" s="3" t="s">
        <v>164</v>
      </c>
      <c r="D22" s="8" t="s">
        <v>183</v>
      </c>
      <c r="E22" s="3" t="s">
        <v>174</v>
      </c>
      <c r="F22" s="3" t="s">
        <v>153</v>
      </c>
      <c r="G22" s="3" t="s">
        <v>154</v>
      </c>
    </row>
    <row r="23" spans="1:7">
      <c r="A23" s="3" t="s">
        <v>96</v>
      </c>
      <c r="B23" s="3" t="s">
        <v>184</v>
      </c>
      <c r="C23" s="3" t="s">
        <v>164</v>
      </c>
      <c r="D23" s="8" t="s">
        <v>185</v>
      </c>
      <c r="E23" s="3" t="s">
        <v>174</v>
      </c>
      <c r="F23" s="3" t="s">
        <v>153</v>
      </c>
      <c r="G23" s="3" t="s">
        <v>154</v>
      </c>
    </row>
    <row r="24" spans="1:7">
      <c r="A24" s="3" t="s">
        <v>96</v>
      </c>
      <c r="B24" s="3" t="s">
        <v>186</v>
      </c>
      <c r="C24" s="3" t="s">
        <v>164</v>
      </c>
      <c r="D24" s="8" t="s">
        <v>187</v>
      </c>
      <c r="E24" s="3" t="s">
        <v>174</v>
      </c>
      <c r="F24" s="3" t="s">
        <v>153</v>
      </c>
      <c r="G24" s="3" t="s">
        <v>154</v>
      </c>
    </row>
    <row r="25" spans="1:7">
      <c r="A25" s="3" t="s">
        <v>108</v>
      </c>
      <c r="B25" s="3" t="s">
        <v>188</v>
      </c>
      <c r="C25" s="3" t="s">
        <v>97</v>
      </c>
      <c r="D25" s="7"/>
      <c r="E25" s="3" t="s">
        <v>122</v>
      </c>
      <c r="F25" s="3" t="s">
        <v>174</v>
      </c>
      <c r="G25" s="3" t="s">
        <v>174</v>
      </c>
    </row>
    <row r="26" spans="1:7">
      <c r="A26" s="3" t="s">
        <v>108</v>
      </c>
      <c r="B26" s="3" t="s">
        <v>189</v>
      </c>
      <c r="C26" s="3" t="s">
        <v>126</v>
      </c>
      <c r="D26" s="8"/>
      <c r="E26" s="3" t="s">
        <v>128</v>
      </c>
      <c r="F26" s="3" t="s">
        <v>123</v>
      </c>
      <c r="G26" s="3" t="s">
        <v>129</v>
      </c>
    </row>
    <row r="27" spans="1:7">
      <c r="A27" s="3" t="s">
        <v>108</v>
      </c>
      <c r="B27" s="3" t="s">
        <v>190</v>
      </c>
      <c r="C27" s="3" t="s">
        <v>126</v>
      </c>
      <c r="D27" s="8"/>
      <c r="E27" s="3" t="s">
        <v>128</v>
      </c>
      <c r="F27" s="3" t="s">
        <v>123</v>
      </c>
      <c r="G27" s="3" t="s">
        <v>129</v>
      </c>
    </row>
    <row r="28" spans="1:7">
      <c r="A28" s="3" t="s">
        <v>108</v>
      </c>
      <c r="B28" s="3" t="s">
        <v>191</v>
      </c>
      <c r="C28" s="3" t="s">
        <v>133</v>
      </c>
      <c r="D28" s="8"/>
      <c r="E28" s="3" t="s">
        <v>122</v>
      </c>
      <c r="F28" s="3" t="s">
        <v>123</v>
      </c>
      <c r="G28" s="3" t="s">
        <v>129</v>
      </c>
    </row>
    <row r="29" spans="1:7">
      <c r="A29" s="3" t="s">
        <v>108</v>
      </c>
      <c r="B29" s="3" t="s">
        <v>192</v>
      </c>
      <c r="C29" s="3" t="s">
        <v>137</v>
      </c>
      <c r="D29" s="8"/>
      <c r="E29" s="3" t="s">
        <v>122</v>
      </c>
      <c r="F29" s="3" t="s">
        <v>193</v>
      </c>
      <c r="G29" s="3" t="s">
        <v>129</v>
      </c>
    </row>
    <row r="30" spans="1:7" ht="15.75" customHeight="1">
      <c r="A30" s="3" t="s">
        <v>108</v>
      </c>
      <c r="B30" s="3" t="s">
        <v>194</v>
      </c>
      <c r="C30" s="3" t="s">
        <v>140</v>
      </c>
      <c r="D30" s="8"/>
      <c r="E30" s="3" t="s">
        <v>122</v>
      </c>
      <c r="F30" s="3" t="s">
        <v>123</v>
      </c>
      <c r="G30" s="3" t="s">
        <v>129</v>
      </c>
    </row>
    <row r="31" spans="1:7" ht="15.75" customHeight="1">
      <c r="A31" s="3" t="s">
        <v>108</v>
      </c>
      <c r="B31" s="3" t="s">
        <v>195</v>
      </c>
      <c r="C31" s="3" t="s">
        <v>143</v>
      </c>
      <c r="D31" s="8"/>
      <c r="E31" s="3" t="s">
        <v>122</v>
      </c>
      <c r="F31" s="3" t="s">
        <v>123</v>
      </c>
      <c r="G31" s="3" t="s">
        <v>129</v>
      </c>
    </row>
    <row r="32" spans="1:7" ht="15.75" customHeight="1">
      <c r="A32" s="3" t="s">
        <v>108</v>
      </c>
      <c r="B32" s="3" t="s">
        <v>196</v>
      </c>
      <c r="C32" s="3" t="s">
        <v>197</v>
      </c>
      <c r="D32" s="65"/>
      <c r="E32" s="65" t="s">
        <v>122</v>
      </c>
      <c r="F32" s="3"/>
      <c r="G32" s="3" t="s">
        <v>150</v>
      </c>
    </row>
    <row r="33" spans="1:7" ht="15.75" customHeight="1">
      <c r="A33" s="3" t="s">
        <v>108</v>
      </c>
      <c r="B33" s="3" t="s">
        <v>198</v>
      </c>
      <c r="C33" s="3" t="s">
        <v>98</v>
      </c>
      <c r="D33" s="8" t="s">
        <v>199</v>
      </c>
      <c r="E33" s="66" t="s">
        <v>122</v>
      </c>
      <c r="F33" s="3" t="s">
        <v>193</v>
      </c>
      <c r="G33" s="3" t="s">
        <v>200</v>
      </c>
    </row>
    <row r="34" spans="1:7" ht="15.75" customHeight="1">
      <c r="A34" s="3" t="s">
        <v>108</v>
      </c>
      <c r="B34" s="3" t="s">
        <v>201</v>
      </c>
      <c r="C34" s="3" t="s">
        <v>197</v>
      </c>
      <c r="D34" s="65"/>
      <c r="E34" s="65" t="s">
        <v>122</v>
      </c>
      <c r="F34" s="3" t="s">
        <v>193</v>
      </c>
      <c r="G34" s="3" t="s">
        <v>200</v>
      </c>
    </row>
    <row r="35" spans="1:7" ht="15.75" customHeight="1">
      <c r="A35" s="3" t="s">
        <v>108</v>
      </c>
      <c r="B35" s="3" t="s">
        <v>202</v>
      </c>
      <c r="C35" s="3" t="s">
        <v>197</v>
      </c>
      <c r="D35" s="65"/>
      <c r="E35" s="66" t="s">
        <v>128</v>
      </c>
      <c r="F35" s="3" t="s">
        <v>193</v>
      </c>
      <c r="G35" s="3" t="s">
        <v>200</v>
      </c>
    </row>
    <row r="36" spans="1:7" ht="15.75" customHeight="1">
      <c r="A36" s="3" t="s">
        <v>108</v>
      </c>
      <c r="B36" s="3" t="s">
        <v>203</v>
      </c>
      <c r="C36" s="3" t="s">
        <v>197</v>
      </c>
      <c r="D36" s="65"/>
      <c r="E36" s="65" t="s">
        <v>122</v>
      </c>
      <c r="F36" s="3" t="s">
        <v>193</v>
      </c>
      <c r="G36" s="3" t="s">
        <v>200</v>
      </c>
    </row>
    <row r="37" spans="1:7" ht="15.75" customHeight="1">
      <c r="A37" s="3" t="s">
        <v>108</v>
      </c>
      <c r="B37" s="3" t="s">
        <v>204</v>
      </c>
      <c r="C37" s="3" t="s">
        <v>176</v>
      </c>
      <c r="D37" s="65"/>
      <c r="E37" s="65" t="s">
        <v>128</v>
      </c>
      <c r="F37" s="3" t="s">
        <v>193</v>
      </c>
      <c r="G37" s="3" t="s">
        <v>200</v>
      </c>
    </row>
    <row r="38" spans="1:7">
      <c r="A38" s="3" t="s">
        <v>108</v>
      </c>
      <c r="B38" s="3" t="s">
        <v>205</v>
      </c>
      <c r="C38" s="3" t="s">
        <v>176</v>
      </c>
      <c r="D38" s="65"/>
      <c r="E38" s="66" t="s">
        <v>128</v>
      </c>
      <c r="F38" s="3" t="s">
        <v>193</v>
      </c>
      <c r="G38" s="3" t="s">
        <v>200</v>
      </c>
    </row>
    <row r="39" spans="1:7">
      <c r="A39" s="3" t="s">
        <v>108</v>
      </c>
      <c r="B39" s="3" t="s">
        <v>206</v>
      </c>
      <c r="C39" s="3" t="s">
        <v>102</v>
      </c>
      <c r="D39" s="65"/>
      <c r="E39" s="65" t="s">
        <v>122</v>
      </c>
      <c r="F39" s="3" t="s">
        <v>193</v>
      </c>
      <c r="G39" s="3" t="s">
        <v>200</v>
      </c>
    </row>
    <row r="40" spans="1:7">
      <c r="A40" s="3" t="s">
        <v>108</v>
      </c>
      <c r="B40" s="3" t="s">
        <v>207</v>
      </c>
      <c r="C40" s="3" t="s">
        <v>102</v>
      </c>
      <c r="D40" s="65"/>
      <c r="E40" s="65" t="s">
        <v>128</v>
      </c>
      <c r="F40" s="3" t="s">
        <v>193</v>
      </c>
      <c r="G40" s="3" t="s">
        <v>200</v>
      </c>
    </row>
    <row r="41" spans="1:7">
      <c r="A41" s="3" t="s">
        <v>108</v>
      </c>
      <c r="B41" s="3" t="s">
        <v>208</v>
      </c>
      <c r="C41" s="3" t="s">
        <v>164</v>
      </c>
      <c r="D41" s="8" t="s">
        <v>209</v>
      </c>
      <c r="E41" s="65" t="s">
        <v>122</v>
      </c>
      <c r="F41" t="s">
        <v>168</v>
      </c>
      <c r="G41" t="s">
        <v>169</v>
      </c>
    </row>
    <row r="42" spans="1:7">
      <c r="A42" s="3" t="s">
        <v>108</v>
      </c>
      <c r="B42" s="3" t="s">
        <v>210</v>
      </c>
      <c r="C42" s="3" t="s">
        <v>164</v>
      </c>
      <c r="D42" s="8" t="s">
        <v>211</v>
      </c>
      <c r="E42" s="75" t="s">
        <v>122</v>
      </c>
      <c r="F42" t="s">
        <v>168</v>
      </c>
      <c r="G42" t="s">
        <v>169</v>
      </c>
    </row>
    <row r="43" spans="1:7">
      <c r="A43" s="3" t="s">
        <v>108</v>
      </c>
      <c r="B43" s="3" t="s">
        <v>212</v>
      </c>
      <c r="C43" s="3" t="s">
        <v>98</v>
      </c>
      <c r="D43" s="8" t="s">
        <v>213</v>
      </c>
      <c r="E43" s="75" t="s">
        <v>122</v>
      </c>
      <c r="F43" t="s">
        <v>168</v>
      </c>
      <c r="G43" t="s">
        <v>169</v>
      </c>
    </row>
    <row r="44" spans="1:7">
      <c r="A44" s="3" t="s">
        <v>108</v>
      </c>
      <c r="B44" s="3" t="s">
        <v>214</v>
      </c>
      <c r="C44" s="3" t="s">
        <v>176</v>
      </c>
      <c r="D44" s="8" t="s">
        <v>215</v>
      </c>
      <c r="E44" s="75" t="s">
        <v>122</v>
      </c>
      <c r="F44" t="s">
        <v>168</v>
      </c>
      <c r="G44" t="s">
        <v>169</v>
      </c>
    </row>
    <row r="45" spans="1:7">
      <c r="A45" s="3" t="s">
        <v>108</v>
      </c>
      <c r="B45" s="3" t="s">
        <v>216</v>
      </c>
      <c r="C45" s="3" t="s">
        <v>176</v>
      </c>
      <c r="D45" s="8" t="s">
        <v>217</v>
      </c>
      <c r="E45" s="75" t="s">
        <v>122</v>
      </c>
      <c r="F45" t="s">
        <v>168</v>
      </c>
      <c r="G45" t="s">
        <v>169</v>
      </c>
    </row>
    <row r="46" spans="1:7">
      <c r="A46" s="3" t="s">
        <v>108</v>
      </c>
      <c r="B46" s="3" t="s">
        <v>172</v>
      </c>
      <c r="C46" s="3" t="s">
        <v>156</v>
      </c>
      <c r="D46" s="8" t="s">
        <v>173</v>
      </c>
    </row>
    <row r="47" spans="1:7">
      <c r="A47" s="3" t="s">
        <v>108</v>
      </c>
      <c r="B47" s="3" t="s">
        <v>218</v>
      </c>
      <c r="C47" s="3" t="s">
        <v>159</v>
      </c>
      <c r="D47" s="8" t="s">
        <v>219</v>
      </c>
    </row>
    <row r="48" spans="1:7">
      <c r="A48" s="3" t="s">
        <v>108</v>
      </c>
      <c r="B48" s="3" t="s">
        <v>220</v>
      </c>
      <c r="C48" s="3" t="s">
        <v>164</v>
      </c>
      <c r="D48" s="8" t="s">
        <v>221</v>
      </c>
    </row>
    <row r="49" spans="1:7">
      <c r="A49" s="3" t="s">
        <v>108</v>
      </c>
      <c r="B49" s="3" t="s">
        <v>222</v>
      </c>
      <c r="C49" s="3" t="s">
        <v>164</v>
      </c>
      <c r="D49" s="8" t="s">
        <v>185</v>
      </c>
    </row>
    <row r="50" spans="1:7">
      <c r="A50" s="3" t="s">
        <v>111</v>
      </c>
      <c r="B50" s="3" t="s">
        <v>223</v>
      </c>
      <c r="C50" s="3" t="s">
        <v>97</v>
      </c>
      <c r="D50" s="67"/>
      <c r="E50" s="65" t="s">
        <v>122</v>
      </c>
      <c r="F50" s="3" t="s">
        <v>123</v>
      </c>
      <c r="G50" s="3" t="s">
        <v>129</v>
      </c>
    </row>
    <row r="51" spans="1:7">
      <c r="A51" s="3" t="s">
        <v>111</v>
      </c>
      <c r="B51" s="3" t="s">
        <v>224</v>
      </c>
      <c r="C51" s="3" t="s">
        <v>126</v>
      </c>
      <c r="D51" s="68"/>
      <c r="E51" s="3" t="s">
        <v>128</v>
      </c>
      <c r="F51" s="3" t="s">
        <v>123</v>
      </c>
      <c r="G51" s="3" t="s">
        <v>129</v>
      </c>
    </row>
    <row r="52" spans="1:7">
      <c r="A52" s="3" t="s">
        <v>111</v>
      </c>
      <c r="B52" s="3" t="s">
        <v>225</v>
      </c>
      <c r="C52" s="3" t="s">
        <v>126</v>
      </c>
      <c r="D52" s="68"/>
      <c r="E52" s="3" t="s">
        <v>128</v>
      </c>
      <c r="F52" s="3" t="s">
        <v>123</v>
      </c>
      <c r="G52" s="3" t="s">
        <v>129</v>
      </c>
    </row>
    <row r="53" spans="1:7">
      <c r="A53" s="3" t="s">
        <v>111</v>
      </c>
      <c r="B53" s="3" t="s">
        <v>226</v>
      </c>
      <c r="C53" s="3" t="s">
        <v>133</v>
      </c>
      <c r="D53" s="68"/>
      <c r="E53" s="3" t="s">
        <v>128</v>
      </c>
      <c r="F53" s="3" t="s">
        <v>123</v>
      </c>
      <c r="G53" s="3" t="s">
        <v>129</v>
      </c>
    </row>
    <row r="54" spans="1:7">
      <c r="A54" s="3" t="s">
        <v>111</v>
      </c>
      <c r="B54" s="3" t="s">
        <v>227</v>
      </c>
      <c r="C54" s="3" t="s">
        <v>137</v>
      </c>
      <c r="D54" s="68"/>
      <c r="E54" s="3" t="s">
        <v>128</v>
      </c>
      <c r="F54" s="3" t="s">
        <v>123</v>
      </c>
      <c r="G54" s="3" t="s">
        <v>129</v>
      </c>
    </row>
    <row r="55" spans="1:7">
      <c r="A55" s="3" t="s">
        <v>111</v>
      </c>
      <c r="B55" s="3" t="s">
        <v>228</v>
      </c>
      <c r="C55" s="3" t="s">
        <v>140</v>
      </c>
      <c r="D55" s="68"/>
      <c r="E55" s="65" t="s">
        <v>122</v>
      </c>
      <c r="F55" s="3" t="s">
        <v>123</v>
      </c>
      <c r="G55" s="3" t="s">
        <v>129</v>
      </c>
    </row>
    <row r="56" spans="1:7">
      <c r="A56" s="3" t="s">
        <v>111</v>
      </c>
      <c r="B56" s="3" t="s">
        <v>229</v>
      </c>
      <c r="C56" s="3" t="s">
        <v>143</v>
      </c>
      <c r="D56" s="68"/>
      <c r="E56" s="3" t="s">
        <v>128</v>
      </c>
      <c r="F56" s="3" t="s">
        <v>123</v>
      </c>
      <c r="G56" s="3" t="s">
        <v>129</v>
      </c>
    </row>
    <row r="57" spans="1:7">
      <c r="A57" s="3" t="s">
        <v>111</v>
      </c>
      <c r="B57" s="3" t="s">
        <v>230</v>
      </c>
      <c r="C57" s="3" t="s">
        <v>98</v>
      </c>
      <c r="D57" s="65"/>
      <c r="E57" s="65" t="s">
        <v>122</v>
      </c>
      <c r="F57" t="s">
        <v>193</v>
      </c>
      <c r="G57" s="3" t="s">
        <v>200</v>
      </c>
    </row>
    <row r="58" spans="1:7">
      <c r="A58" s="3" t="s">
        <v>111</v>
      </c>
      <c r="B58" s="3" t="s">
        <v>231</v>
      </c>
      <c r="C58" s="3" t="s">
        <v>197</v>
      </c>
      <c r="D58" s="66"/>
      <c r="E58" s="66" t="s">
        <v>122</v>
      </c>
      <c r="F58" t="s">
        <v>193</v>
      </c>
      <c r="G58" s="3" t="s">
        <v>200</v>
      </c>
    </row>
    <row r="59" spans="1:7">
      <c r="A59" s="3" t="s">
        <v>111</v>
      </c>
      <c r="B59" s="3" t="s">
        <v>232</v>
      </c>
      <c r="C59" s="3" t="s">
        <v>197</v>
      </c>
      <c r="D59" s="65"/>
      <c r="E59" s="65" t="s">
        <v>122</v>
      </c>
      <c r="F59" t="s">
        <v>193</v>
      </c>
      <c r="G59" s="3" t="s">
        <v>200</v>
      </c>
    </row>
    <row r="60" spans="1:7">
      <c r="A60" s="3" t="s">
        <v>111</v>
      </c>
      <c r="B60" s="3" t="s">
        <v>233</v>
      </c>
      <c r="C60" s="3" t="s">
        <v>197</v>
      </c>
      <c r="D60" s="66"/>
      <c r="E60" s="66" t="s">
        <v>128</v>
      </c>
      <c r="F60" t="s">
        <v>193</v>
      </c>
      <c r="G60" s="3" t="s">
        <v>200</v>
      </c>
    </row>
    <row r="61" spans="1:7">
      <c r="A61" s="3" t="s">
        <v>111</v>
      </c>
      <c r="B61" s="3" t="s">
        <v>234</v>
      </c>
      <c r="C61" s="3" t="s">
        <v>176</v>
      </c>
      <c r="D61" s="65"/>
      <c r="E61" s="65" t="s">
        <v>128</v>
      </c>
      <c r="F61" t="s">
        <v>193</v>
      </c>
      <c r="G61" s="3" t="s">
        <v>200</v>
      </c>
    </row>
    <row r="62" spans="1:7">
      <c r="A62" s="3" t="s">
        <v>111</v>
      </c>
      <c r="B62" s="3" t="s">
        <v>235</v>
      </c>
      <c r="C62" s="3" t="s">
        <v>156</v>
      </c>
      <c r="D62" s="65"/>
      <c r="E62" s="65" t="s">
        <v>122</v>
      </c>
      <c r="F62" t="s">
        <v>193</v>
      </c>
      <c r="G62" s="3" t="s">
        <v>200</v>
      </c>
    </row>
    <row r="63" spans="1:7">
      <c r="A63" s="3" t="s">
        <v>111</v>
      </c>
      <c r="B63" s="3" t="s">
        <v>236</v>
      </c>
      <c r="C63" s="3" t="s">
        <v>102</v>
      </c>
      <c r="D63" s="65"/>
      <c r="E63" s="65" t="s">
        <v>122</v>
      </c>
      <c r="F63" t="s">
        <v>193</v>
      </c>
      <c r="G63" s="3" t="s">
        <v>200</v>
      </c>
    </row>
    <row r="64" spans="1:7">
      <c r="A64" s="3" t="s">
        <v>111</v>
      </c>
      <c r="B64" s="3" t="s">
        <v>237</v>
      </c>
      <c r="C64" s="3" t="s">
        <v>102</v>
      </c>
      <c r="D64" s="66"/>
      <c r="E64" s="65" t="s">
        <v>128</v>
      </c>
      <c r="F64" t="s">
        <v>193</v>
      </c>
      <c r="G64" s="3" t="s">
        <v>200</v>
      </c>
    </row>
    <row r="65" spans="1:7">
      <c r="A65" s="3" t="s">
        <v>111</v>
      </c>
      <c r="B65" s="3" t="s">
        <v>206</v>
      </c>
      <c r="C65" s="3" t="s">
        <v>102</v>
      </c>
      <c r="D65" s="66"/>
      <c r="E65" s="65" t="s">
        <v>122</v>
      </c>
      <c r="F65" t="s">
        <v>193</v>
      </c>
      <c r="G65" s="3" t="s">
        <v>200</v>
      </c>
    </row>
    <row r="66" spans="1:7">
      <c r="A66" s="3" t="s">
        <v>111</v>
      </c>
      <c r="B66" s="3" t="s">
        <v>238</v>
      </c>
      <c r="C66" s="3" t="s">
        <v>164</v>
      </c>
      <c r="E66" s="65" t="s">
        <v>122</v>
      </c>
      <c r="G66" t="s">
        <v>239</v>
      </c>
    </row>
    <row r="67" spans="1:7">
      <c r="A67" s="3" t="s">
        <v>111</v>
      </c>
      <c r="B67" s="3" t="s">
        <v>240</v>
      </c>
      <c r="C67" s="3" t="s">
        <v>241</v>
      </c>
      <c r="D67" s="8" t="s">
        <v>242</v>
      </c>
      <c r="E67" t="s">
        <v>122</v>
      </c>
      <c r="G67" s="3" t="s">
        <v>154</v>
      </c>
    </row>
    <row r="68" spans="1:7">
      <c r="A68" s="3" t="s">
        <v>111</v>
      </c>
      <c r="B68" s="3" t="s">
        <v>243</v>
      </c>
      <c r="C68" s="3" t="s">
        <v>164</v>
      </c>
      <c r="D68" s="8" t="s">
        <v>244</v>
      </c>
      <c r="E68" t="s">
        <v>122</v>
      </c>
      <c r="G68" s="3" t="s">
        <v>154</v>
      </c>
    </row>
    <row r="69" spans="1:7">
      <c r="A69" s="3" t="s">
        <v>111</v>
      </c>
      <c r="B69" s="3" t="s">
        <v>245</v>
      </c>
      <c r="C69" s="3" t="s">
        <v>156</v>
      </c>
      <c r="D69" s="74" t="s">
        <v>246</v>
      </c>
      <c r="E69" t="s">
        <v>122</v>
      </c>
      <c r="G69" s="3" t="s">
        <v>169</v>
      </c>
    </row>
    <row r="70" spans="1:7">
      <c r="A70" s="3" t="s">
        <v>111</v>
      </c>
      <c r="B70" s="3" t="s">
        <v>247</v>
      </c>
      <c r="C70" s="3" t="s">
        <v>176</v>
      </c>
      <c r="D70" s="74" t="s">
        <v>248</v>
      </c>
      <c r="E70" t="s">
        <v>122</v>
      </c>
      <c r="G70" s="3" t="s">
        <v>169</v>
      </c>
    </row>
    <row r="71" spans="1:7">
      <c r="A71" s="3" t="s">
        <v>111</v>
      </c>
      <c r="B71" s="3" t="s">
        <v>249</v>
      </c>
      <c r="C71" s="3" t="s">
        <v>159</v>
      </c>
      <c r="D71" s="74" t="s">
        <v>250</v>
      </c>
      <c r="E71" t="s">
        <v>122</v>
      </c>
      <c r="G71" s="3" t="s">
        <v>169</v>
      </c>
    </row>
    <row r="72" spans="1:7">
      <c r="A72" s="3" t="s">
        <v>111</v>
      </c>
      <c r="B72" s="3" t="s">
        <v>251</v>
      </c>
      <c r="C72" s="3" t="s">
        <v>164</v>
      </c>
      <c r="D72" s="74" t="s">
        <v>252</v>
      </c>
      <c r="G72" s="3" t="s">
        <v>169</v>
      </c>
    </row>
    <row r="73" spans="1:7">
      <c r="A73" s="3" t="s">
        <v>111</v>
      </c>
      <c r="B73" s="3" t="s">
        <v>253</v>
      </c>
      <c r="C73" s="3"/>
      <c r="D73" s="74" t="s">
        <v>254</v>
      </c>
      <c r="G73" s="3" t="s">
        <v>169</v>
      </c>
    </row>
  </sheetData>
  <phoneticPr fontId="19"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 ref="D33" r:id="rId7" xr:uid="{8B5531B3-81A8-45F3-8A3C-15186120017B}"/>
    <hyperlink ref="D11" r:id="rId8" xr:uid="{9FD337B1-A763-4856-8D07-5F7CAC690544}"/>
    <hyperlink ref="D10" r:id="rId9" xr:uid="{D4E370B9-A8B5-45D6-AB91-6D446888CF2B}"/>
    <hyperlink ref="D13" r:id="rId10" xr:uid="{55604AA3-23ED-4C6B-B758-53B63612D907}"/>
    <hyperlink ref="D12" r:id="rId11" xr:uid="{ED1537AB-5748-49BF-BE2E-4B52EAE9FBFF}"/>
    <hyperlink ref="D14" r:id="rId12" xr:uid="{D7960DCF-85F2-4032-ADAF-DB10EE7B4C19}"/>
    <hyperlink ref="D15" r:id="rId13" xr:uid="{75362445-4132-4B9F-ADA6-936C081C47C6}"/>
    <hyperlink ref="D16" r:id="rId14" xr:uid="{2E9AE058-7402-43C2-9F9A-45B7D03A72DB}"/>
    <hyperlink ref="D17" r:id="rId15" xr:uid="{E444DDD4-6CCA-42DE-8D09-74F5F0397A70}"/>
    <hyperlink ref="D18" r:id="rId16" xr:uid="{A297AB38-BC79-4DCA-BF79-19390BDB6E4B}"/>
    <hyperlink ref="D19" r:id="rId17" xr:uid="{C4D7F576-641A-493A-B97A-48BF3BD48DB7}"/>
    <hyperlink ref="D20" r:id="rId18" xr:uid="{983FD994-BC09-4799-90F0-55E07EBD43BF}"/>
    <hyperlink ref="D21" r:id="rId19" xr:uid="{E942909F-B256-42E2-A3E6-1FB9AC1E5336}"/>
    <hyperlink ref="D22" r:id="rId20" xr:uid="{89B3C3F9-36E4-4D6F-BFF1-240E5C88ACCF}"/>
    <hyperlink ref="D23" r:id="rId21" xr:uid="{DA867989-072F-4334-9ACA-AEC9794D167B}"/>
    <hyperlink ref="D24" r:id="rId22" xr:uid="{E58695CF-E565-4422-968F-254975ED9309}"/>
    <hyperlink ref="D46" r:id="rId23" xr:uid="{33AD75D2-C68C-4AA9-90E6-3A10FA383F91}"/>
    <hyperlink ref="D47" r:id="rId24" xr:uid="{9E04183C-D849-406E-BE86-97A8B9A747DE}"/>
    <hyperlink ref="D48" r:id="rId25" xr:uid="{6FE7D51E-CBBE-4416-885F-242321BE3DF9}"/>
    <hyperlink ref="D49" r:id="rId26" xr:uid="{9F4C8A3E-47A9-48BD-A7D6-9ED0D0CBF2E5}"/>
    <hyperlink ref="D41" r:id="rId27" xr:uid="{FBEC2787-C97E-498D-B2A6-1480E7B7C4F0}"/>
    <hyperlink ref="D43" r:id="rId28" xr:uid="{6639F66C-D14A-4C4C-99C1-2B2C71158F16}"/>
    <hyperlink ref="D44" r:id="rId29" xr:uid="{8112A4AE-A750-44C2-B44D-298F041A1E97}"/>
    <hyperlink ref="D45" r:id="rId30" xr:uid="{C769F862-1EB4-4DAB-BA79-3F48699A57C4}"/>
    <hyperlink ref="D67" r:id="rId31" xr:uid="{DB794B49-1C94-4B06-AB20-A7E319BF68D8}"/>
    <hyperlink ref="D68" r:id="rId32" xr:uid="{7642C627-90E6-4BDF-8C1D-397C0C6AED17}"/>
    <hyperlink ref="D71" r:id="rId33" xr:uid="{6BDB98F2-05B2-4AA9-8486-26FBC7679E52}"/>
    <hyperlink ref="D72" r:id="rId34" xr:uid="{83E7B6BD-2578-4375-AFB7-B7050DD0120B}"/>
    <hyperlink ref="D73" r:id="rId35" xr:uid="{C9B14F1D-3C58-41A3-878D-5CFD5CFCF3BA}"/>
  </hyperlinks>
  <pageMargins left="0.7" right="0.7" top="0.75" bottom="0.75" header="0.3" footer="0.3"/>
  <pageSetup paperSize="9" orientation="portrait" r:id="rId3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5546875" defaultRowHeight="15"/>
  <cols>
    <col min="1" max="1" width="26" bestFit="1" customWidth="1"/>
    <col min="2" max="2" width="62.28515625" customWidth="1"/>
    <col min="3" max="3" width="48" bestFit="1" customWidth="1"/>
    <col min="4" max="4" width="65.28515625" bestFit="1" customWidth="1"/>
    <col min="5" max="5" width="22.140625" bestFit="1" customWidth="1"/>
  </cols>
  <sheetData>
    <row r="1" spans="1:5">
      <c r="A1" s="1" t="s">
        <v>255</v>
      </c>
      <c r="B1" s="1" t="s">
        <v>256</v>
      </c>
      <c r="C1" s="1" t="s">
        <v>257</v>
      </c>
      <c r="D1" s="51" t="s">
        <v>258</v>
      </c>
      <c r="E1" s="1" t="s">
        <v>259</v>
      </c>
    </row>
    <row r="2" spans="1:5">
      <c r="A2" s="14">
        <v>3587</v>
      </c>
      <c r="B2" s="50" t="s">
        <v>260</v>
      </c>
      <c r="C2" s="50" t="s">
        <v>261</v>
      </c>
      <c r="D2" s="14" t="s">
        <v>262</v>
      </c>
      <c r="E2" s="14" t="s">
        <v>263</v>
      </c>
    </row>
    <row r="3" spans="1:5">
      <c r="A3" s="14">
        <v>3588</v>
      </c>
      <c r="B3" s="50" t="s">
        <v>264</v>
      </c>
      <c r="C3" s="50" t="s">
        <v>265</v>
      </c>
      <c r="D3" s="14" t="s">
        <v>262</v>
      </c>
      <c r="E3" s="14" t="s">
        <v>263</v>
      </c>
    </row>
    <row r="4" spans="1:5">
      <c r="A4" s="14">
        <v>3596</v>
      </c>
      <c r="B4" s="50" t="s">
        <v>266</v>
      </c>
      <c r="C4" s="50" t="s">
        <v>266</v>
      </c>
      <c r="D4" s="14" t="s">
        <v>262</v>
      </c>
      <c r="E4" s="14" t="s">
        <v>263</v>
      </c>
    </row>
    <row r="5" spans="1:5">
      <c r="A5" s="14">
        <v>3597</v>
      </c>
      <c r="B5" s="50" t="s">
        <v>267</v>
      </c>
      <c r="C5" s="50" t="s">
        <v>268</v>
      </c>
      <c r="D5" s="14" t="s">
        <v>262</v>
      </c>
      <c r="E5" s="14" t="s">
        <v>263</v>
      </c>
    </row>
    <row r="6" spans="1:5">
      <c r="A6" s="14">
        <v>3598</v>
      </c>
      <c r="B6" s="50" t="s">
        <v>269</v>
      </c>
      <c r="C6" s="50" t="s">
        <v>270</v>
      </c>
      <c r="D6" s="14" t="s">
        <v>271</v>
      </c>
      <c r="E6" s="14" t="s">
        <v>263</v>
      </c>
    </row>
    <row r="7" spans="1:5">
      <c r="A7" s="14">
        <v>3599</v>
      </c>
      <c r="B7" s="50" t="s">
        <v>272</v>
      </c>
      <c r="C7" s="50" t="s">
        <v>273</v>
      </c>
      <c r="D7" s="14" t="s">
        <v>271</v>
      </c>
      <c r="E7" s="14" t="s">
        <v>263</v>
      </c>
    </row>
    <row r="8" spans="1:5">
      <c r="A8" s="14">
        <v>3031</v>
      </c>
      <c r="B8" s="50" t="s">
        <v>274</v>
      </c>
      <c r="C8" s="50" t="s">
        <v>275</v>
      </c>
      <c r="D8" s="14" t="s">
        <v>262</v>
      </c>
      <c r="E8" s="14" t="s">
        <v>263</v>
      </c>
    </row>
    <row r="9" spans="1:5">
      <c r="A9" s="14">
        <v>3032</v>
      </c>
      <c r="B9" s="50" t="s">
        <v>276</v>
      </c>
      <c r="C9" s="50" t="s">
        <v>277</v>
      </c>
      <c r="D9" s="14" t="s">
        <v>262</v>
      </c>
      <c r="E9" s="14" t="s">
        <v>263</v>
      </c>
    </row>
    <row r="10" spans="1:5">
      <c r="A10" s="14">
        <v>3033</v>
      </c>
      <c r="B10" s="50" t="s">
        <v>278</v>
      </c>
      <c r="C10" s="50" t="s">
        <v>279</v>
      </c>
      <c r="D10" s="14" t="s">
        <v>262</v>
      </c>
      <c r="E10" s="14" t="s">
        <v>263</v>
      </c>
    </row>
    <row r="11" spans="1:5">
      <c r="A11" s="14">
        <v>3034</v>
      </c>
      <c r="B11" s="50" t="s">
        <v>280</v>
      </c>
      <c r="C11" s="50" t="s">
        <v>281</v>
      </c>
      <c r="D11" s="14" t="s">
        <v>262</v>
      </c>
      <c r="E11" s="14" t="s">
        <v>263</v>
      </c>
    </row>
    <row r="12" spans="1:5">
      <c r="A12" s="14">
        <v>3548</v>
      </c>
      <c r="B12" s="50" t="s">
        <v>282</v>
      </c>
      <c r="C12" s="50" t="s">
        <v>283</v>
      </c>
      <c r="D12" s="14" t="s">
        <v>262</v>
      </c>
      <c r="E12" s="14" t="s">
        <v>263</v>
      </c>
    </row>
    <row r="13" spans="1:5">
      <c r="A13" s="14">
        <v>3549</v>
      </c>
      <c r="B13" s="50" t="s">
        <v>284</v>
      </c>
      <c r="C13" s="50" t="s">
        <v>283</v>
      </c>
      <c r="D13" s="14" t="s">
        <v>262</v>
      </c>
      <c r="E13" s="14" t="s">
        <v>263</v>
      </c>
    </row>
    <row r="14" spans="1:5">
      <c r="A14" s="14">
        <v>3136</v>
      </c>
      <c r="B14" s="50" t="s">
        <v>285</v>
      </c>
      <c r="C14" s="50" t="s">
        <v>286</v>
      </c>
      <c r="D14" s="14" t="s">
        <v>262</v>
      </c>
      <c r="E14" s="14" t="s">
        <v>263</v>
      </c>
    </row>
    <row r="15" spans="1:5">
      <c r="A15" s="14">
        <v>2105</v>
      </c>
      <c r="B15" s="50" t="s">
        <v>287</v>
      </c>
      <c r="C15" s="50" t="s">
        <v>288</v>
      </c>
      <c r="D15" s="14" t="s">
        <v>159</v>
      </c>
      <c r="E15" s="14" t="s">
        <v>263</v>
      </c>
    </row>
    <row r="16" spans="1:5">
      <c r="A16" s="14">
        <v>2121</v>
      </c>
      <c r="B16" s="50" t="s">
        <v>289</v>
      </c>
      <c r="C16" s="50" t="s">
        <v>289</v>
      </c>
      <c r="D16" s="14" t="s">
        <v>159</v>
      </c>
      <c r="E16" s="14" t="s">
        <v>263</v>
      </c>
    </row>
    <row r="17" spans="1:5">
      <c r="A17" s="14">
        <v>2133</v>
      </c>
      <c r="B17" s="50" t="s">
        <v>290</v>
      </c>
      <c r="C17" s="50" t="s">
        <v>290</v>
      </c>
      <c r="D17" s="14" t="s">
        <v>159</v>
      </c>
      <c r="E17" s="14" t="s">
        <v>263</v>
      </c>
    </row>
    <row r="18" spans="1:5">
      <c r="A18" s="14">
        <v>2152</v>
      </c>
      <c r="B18" s="50" t="s">
        <v>291</v>
      </c>
      <c r="C18" s="50" t="s">
        <v>291</v>
      </c>
      <c r="D18" s="14" t="s">
        <v>159</v>
      </c>
      <c r="E18" s="14" t="s">
        <v>263</v>
      </c>
    </row>
    <row r="19" spans="1:5">
      <c r="A19" s="14">
        <v>2154</v>
      </c>
      <c r="B19" s="50" t="s">
        <v>292</v>
      </c>
      <c r="C19" s="50" t="s">
        <v>292</v>
      </c>
      <c r="D19" s="14" t="s">
        <v>159</v>
      </c>
      <c r="E19" s="14" t="s">
        <v>263</v>
      </c>
    </row>
    <row r="20" spans="1:5">
      <c r="A20" s="14">
        <v>2314</v>
      </c>
      <c r="B20" s="50" t="s">
        <v>293</v>
      </c>
      <c r="C20" s="50" t="s">
        <v>293</v>
      </c>
      <c r="D20" s="14" t="s">
        <v>159</v>
      </c>
      <c r="E20" s="14" t="s">
        <v>263</v>
      </c>
    </row>
    <row r="21" spans="1:5">
      <c r="A21" s="14">
        <v>2375</v>
      </c>
      <c r="B21" s="50" t="s">
        <v>294</v>
      </c>
      <c r="C21" s="50" t="s">
        <v>294</v>
      </c>
      <c r="D21" s="14" t="s">
        <v>295</v>
      </c>
      <c r="E21" s="14" t="s">
        <v>263</v>
      </c>
    </row>
    <row r="22" spans="1:5">
      <c r="A22" s="14">
        <v>2410</v>
      </c>
      <c r="B22" s="50" t="s">
        <v>296</v>
      </c>
      <c r="C22" s="50" t="s">
        <v>297</v>
      </c>
      <c r="D22" s="14" t="s">
        <v>298</v>
      </c>
      <c r="E22" s="14" t="s">
        <v>263</v>
      </c>
    </row>
    <row r="23" spans="1:5">
      <c r="A23" s="14">
        <v>2502</v>
      </c>
      <c r="B23" s="50" t="s">
        <v>299</v>
      </c>
      <c r="C23" s="50" t="s">
        <v>300</v>
      </c>
      <c r="D23" s="14" t="s">
        <v>301</v>
      </c>
      <c r="E23" s="14" t="s">
        <v>263</v>
      </c>
    </row>
    <row r="24" spans="1:5">
      <c r="A24" s="14">
        <v>7114</v>
      </c>
      <c r="B24" s="50" t="s">
        <v>302</v>
      </c>
      <c r="C24" s="50" t="s">
        <v>302</v>
      </c>
      <c r="D24" s="14" t="s">
        <v>303</v>
      </c>
      <c r="E24" s="14" t="s">
        <v>263</v>
      </c>
    </row>
    <row r="25" spans="1:5">
      <c r="A25" s="14">
        <v>2251</v>
      </c>
      <c r="B25" s="50" t="s">
        <v>304</v>
      </c>
      <c r="C25" s="50"/>
      <c r="D25" s="14" t="s">
        <v>305</v>
      </c>
      <c r="E25" s="56" t="s">
        <v>306</v>
      </c>
    </row>
    <row r="26" spans="1:5">
      <c r="A26" s="14" t="s">
        <v>307</v>
      </c>
      <c r="B26" s="50" t="s">
        <v>308</v>
      </c>
      <c r="C26" s="50"/>
      <c r="D26" s="14" t="s">
        <v>309</v>
      </c>
      <c r="E26" s="14" t="s">
        <v>310</v>
      </c>
    </row>
    <row r="27" spans="1:5">
      <c r="A27" s="14" t="s">
        <v>307</v>
      </c>
      <c r="B27" s="50" t="s">
        <v>311</v>
      </c>
      <c r="C27" s="50"/>
      <c r="D27" s="14" t="s">
        <v>101</v>
      </c>
      <c r="E27" s="14" t="s">
        <v>310</v>
      </c>
    </row>
    <row r="28" spans="1:5">
      <c r="A28" s="14" t="s">
        <v>307</v>
      </c>
      <c r="B28" s="50" t="s">
        <v>312</v>
      </c>
      <c r="C28" s="50"/>
      <c r="D28" s="14" t="s">
        <v>101</v>
      </c>
      <c r="E28" s="14" t="s">
        <v>310</v>
      </c>
    </row>
    <row r="29" spans="1:5">
      <c r="A29" s="14" t="s">
        <v>307</v>
      </c>
      <c r="B29" s="50" t="s">
        <v>313</v>
      </c>
      <c r="C29" s="50"/>
      <c r="D29" s="14" t="s">
        <v>314</v>
      </c>
      <c r="E29" s="14" t="s">
        <v>310</v>
      </c>
    </row>
    <row r="30" spans="1:5">
      <c r="A30" s="14" t="s">
        <v>307</v>
      </c>
      <c r="B30" s="50" t="s">
        <v>315</v>
      </c>
      <c r="C30" s="50"/>
      <c r="D30" s="14" t="s">
        <v>316</v>
      </c>
      <c r="E30" s="14" t="s">
        <v>310</v>
      </c>
    </row>
    <row r="31" spans="1:5">
      <c r="A31" s="14" t="s">
        <v>307</v>
      </c>
      <c r="B31" s="50" t="s">
        <v>317</v>
      </c>
      <c r="C31" s="50"/>
      <c r="D31" s="14" t="s">
        <v>318</v>
      </c>
      <c r="E31" s="14" t="s">
        <v>310</v>
      </c>
    </row>
    <row r="32" spans="1:5">
      <c r="A32" s="14"/>
      <c r="B32" s="50"/>
      <c r="C32" s="50"/>
      <c r="D32" s="14" t="s">
        <v>319</v>
      </c>
      <c r="E32" s="14" t="s">
        <v>320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c r="A1" s="1" t="s">
        <v>321</v>
      </c>
      <c r="B1" s="1" t="s">
        <v>322</v>
      </c>
      <c r="C1" s="1" t="s">
        <v>323</v>
      </c>
      <c r="D1" s="1" t="s">
        <v>324</v>
      </c>
      <c r="E1" s="1" t="s">
        <v>325</v>
      </c>
      <c r="F1" s="1" t="s">
        <v>326</v>
      </c>
      <c r="G1" s="1" t="s">
        <v>327</v>
      </c>
      <c r="H1" s="1" t="s">
        <v>328</v>
      </c>
    </row>
    <row r="2" spans="1:8">
      <c r="A2" s="3" t="s">
        <v>329</v>
      </c>
      <c r="B2" s="3" t="s">
        <v>330</v>
      </c>
      <c r="C2" s="46" t="s">
        <v>331</v>
      </c>
      <c r="D2" s="46"/>
      <c r="E2" s="46"/>
      <c r="F2" s="46"/>
      <c r="G2" s="46"/>
      <c r="H2" s="46"/>
    </row>
    <row r="3" spans="1:8">
      <c r="A3" s="3" t="s">
        <v>329</v>
      </c>
      <c r="B3" s="3" t="s">
        <v>332</v>
      </c>
      <c r="C3" s="46"/>
      <c r="D3" s="46"/>
      <c r="E3" s="46"/>
      <c r="F3" s="46" t="s">
        <v>331</v>
      </c>
      <c r="G3" s="46"/>
      <c r="H3" s="46"/>
    </row>
    <row r="4" spans="1:8">
      <c r="A4" s="3" t="s">
        <v>329</v>
      </c>
      <c r="B4" s="3" t="s">
        <v>333</v>
      </c>
      <c r="C4" s="46"/>
      <c r="D4" s="46"/>
      <c r="E4" s="46"/>
      <c r="F4" s="46" t="s">
        <v>331</v>
      </c>
      <c r="G4" s="46"/>
      <c r="H4" s="46"/>
    </row>
    <row r="5" spans="1:8">
      <c r="A5" s="3" t="s">
        <v>329</v>
      </c>
      <c r="B5" s="3" t="s">
        <v>334</v>
      </c>
      <c r="C5" s="46"/>
      <c r="D5" s="46"/>
      <c r="E5" s="46"/>
      <c r="F5" s="46" t="s">
        <v>331</v>
      </c>
      <c r="G5" s="46"/>
      <c r="H5" s="46"/>
    </row>
    <row r="6" spans="1:8">
      <c r="A6" s="3" t="s">
        <v>329</v>
      </c>
      <c r="B6" s="3" t="s">
        <v>335</v>
      </c>
      <c r="C6" s="46" t="s">
        <v>331</v>
      </c>
      <c r="D6" s="46"/>
      <c r="E6" s="46"/>
      <c r="F6" s="3"/>
      <c r="G6" s="46"/>
      <c r="H6" s="46"/>
    </row>
    <row r="7" spans="1:8">
      <c r="A7" s="3" t="s">
        <v>329</v>
      </c>
      <c r="B7" s="3" t="s">
        <v>336</v>
      </c>
      <c r="C7" s="46"/>
      <c r="D7" s="46"/>
      <c r="E7" s="46"/>
      <c r="F7" s="46" t="s">
        <v>331</v>
      </c>
      <c r="G7" s="46"/>
      <c r="H7" s="46"/>
    </row>
    <row r="8" spans="1:8">
      <c r="A8" s="3" t="s">
        <v>329</v>
      </c>
      <c r="B8" s="3" t="s">
        <v>337</v>
      </c>
      <c r="C8" s="46"/>
      <c r="D8" s="46"/>
      <c r="E8" s="46"/>
      <c r="F8" s="46" t="s">
        <v>331</v>
      </c>
      <c r="G8" s="46"/>
      <c r="H8" s="46"/>
    </row>
    <row r="9" spans="1:8">
      <c r="A9" s="3" t="s">
        <v>329</v>
      </c>
      <c r="B9" s="3" t="s">
        <v>338</v>
      </c>
      <c r="C9" s="46"/>
      <c r="D9" s="46"/>
      <c r="E9" s="46"/>
      <c r="F9" s="49" t="s">
        <v>331</v>
      </c>
      <c r="G9" s="46"/>
      <c r="H9" s="46"/>
    </row>
    <row r="10" spans="1:8">
      <c r="A10" s="3" t="s">
        <v>329</v>
      </c>
      <c r="B10" s="3" t="s">
        <v>339</v>
      </c>
      <c r="C10" s="46"/>
      <c r="D10" s="46"/>
      <c r="E10" s="3"/>
      <c r="F10" s="49" t="s">
        <v>331</v>
      </c>
      <c r="G10" s="46"/>
      <c r="H10" s="46"/>
    </row>
    <row r="11" spans="1:8">
      <c r="A11" s="3" t="s">
        <v>340</v>
      </c>
      <c r="B11" s="3" t="s">
        <v>341</v>
      </c>
      <c r="C11" s="46"/>
      <c r="D11" s="46"/>
      <c r="E11" s="46"/>
      <c r="F11" s="46" t="s">
        <v>331</v>
      </c>
      <c r="G11" s="46"/>
      <c r="H11" s="46"/>
    </row>
    <row r="12" spans="1:8">
      <c r="A12" s="3" t="s">
        <v>340</v>
      </c>
      <c r="B12" s="3" t="s">
        <v>342</v>
      </c>
      <c r="C12" s="46"/>
      <c r="D12" s="46"/>
      <c r="E12" s="46" t="s">
        <v>331</v>
      </c>
      <c r="F12" s="46"/>
      <c r="G12" s="46"/>
      <c r="H12" s="46"/>
    </row>
    <row r="13" spans="1:8">
      <c r="A13" s="3" t="s">
        <v>340</v>
      </c>
      <c r="B13" s="3" t="s">
        <v>343</v>
      </c>
      <c r="C13" s="46"/>
      <c r="D13" s="46"/>
      <c r="E13" s="46" t="s">
        <v>331</v>
      </c>
      <c r="F13" s="46"/>
      <c r="G13" s="46"/>
      <c r="H13" s="46"/>
    </row>
    <row r="14" spans="1:8">
      <c r="A14" s="3" t="s">
        <v>340</v>
      </c>
      <c r="B14" s="3" t="s">
        <v>344</v>
      </c>
      <c r="C14" s="46"/>
      <c r="D14" s="46"/>
      <c r="E14" s="46" t="s">
        <v>331</v>
      </c>
      <c r="F14" s="46"/>
      <c r="G14" s="46"/>
      <c r="H14" s="46"/>
    </row>
    <row r="15" spans="1:8">
      <c r="A15" s="3" t="s">
        <v>340</v>
      </c>
      <c r="B15" s="3" t="s">
        <v>345</v>
      </c>
      <c r="C15" s="46"/>
      <c r="D15" s="46"/>
      <c r="E15" s="46"/>
      <c r="F15" s="46" t="s">
        <v>331</v>
      </c>
      <c r="G15" s="46"/>
      <c r="H15" s="46"/>
    </row>
    <row r="16" spans="1:8">
      <c r="A16" s="3" t="s">
        <v>340</v>
      </c>
      <c r="B16" s="3" t="s">
        <v>311</v>
      </c>
      <c r="C16" s="46"/>
      <c r="D16" s="46"/>
      <c r="E16" s="46" t="s">
        <v>331</v>
      </c>
      <c r="F16" s="46"/>
      <c r="G16" s="46"/>
      <c r="H16" s="46"/>
    </row>
    <row r="17" spans="1:8">
      <c r="A17" s="3" t="s">
        <v>340</v>
      </c>
      <c r="B17" s="3" t="s">
        <v>346</v>
      </c>
      <c r="C17" s="46"/>
      <c r="D17" s="46"/>
      <c r="E17" s="46"/>
      <c r="F17" s="46" t="s">
        <v>331</v>
      </c>
      <c r="G17" s="46"/>
      <c r="H17" s="46"/>
    </row>
    <row r="18" spans="1:8">
      <c r="A18" s="3" t="s">
        <v>340</v>
      </c>
      <c r="B18" s="3" t="s">
        <v>347</v>
      </c>
      <c r="C18" s="3"/>
      <c r="D18" s="46"/>
      <c r="E18" s="46"/>
      <c r="F18" s="46" t="s">
        <v>331</v>
      </c>
      <c r="G18" s="46"/>
      <c r="H18" s="46"/>
    </row>
    <row r="19" spans="1:8">
      <c r="A19" s="3" t="s">
        <v>340</v>
      </c>
      <c r="B19" s="3" t="s">
        <v>348</v>
      </c>
      <c r="C19" s="3"/>
      <c r="D19" s="46"/>
      <c r="E19" s="46"/>
      <c r="F19" s="46" t="s">
        <v>331</v>
      </c>
      <c r="G19" s="46"/>
      <c r="H19" s="46"/>
    </row>
    <row r="20" spans="1:8">
      <c r="A20" s="3" t="s">
        <v>340</v>
      </c>
      <c r="B20" s="3" t="s">
        <v>349</v>
      </c>
      <c r="C20" s="3"/>
      <c r="D20" s="46"/>
      <c r="E20" s="46"/>
      <c r="F20" s="46" t="s">
        <v>331</v>
      </c>
      <c r="G20" s="46"/>
      <c r="H20" s="46"/>
    </row>
    <row r="21" spans="1:8">
      <c r="A21" s="3" t="s">
        <v>340</v>
      </c>
      <c r="B21" s="3" t="s">
        <v>350</v>
      </c>
      <c r="C21" s="3"/>
      <c r="D21" s="46"/>
      <c r="E21" s="46"/>
      <c r="F21" s="46" t="s">
        <v>331</v>
      </c>
      <c r="G21" s="46"/>
      <c r="H21" s="46"/>
    </row>
    <row r="22" spans="1:8">
      <c r="A22" s="3" t="s">
        <v>351</v>
      </c>
      <c r="B22" s="3" t="s">
        <v>352</v>
      </c>
      <c r="C22" s="46" t="s">
        <v>331</v>
      </c>
      <c r="D22" s="46"/>
      <c r="E22" s="46"/>
      <c r="F22" s="46"/>
      <c r="G22" s="46"/>
      <c r="H22" s="46"/>
    </row>
    <row r="23" spans="1:8">
      <c r="A23" s="3" t="s">
        <v>351</v>
      </c>
      <c r="B23" s="3" t="s">
        <v>353</v>
      </c>
      <c r="C23" s="46"/>
      <c r="D23" s="46"/>
      <c r="E23" s="46"/>
      <c r="F23" s="46" t="s">
        <v>331</v>
      </c>
      <c r="G23" s="46"/>
      <c r="H23" s="46"/>
    </row>
    <row r="24" spans="1:8">
      <c r="A24" s="3" t="s">
        <v>351</v>
      </c>
      <c r="B24" s="3" t="s">
        <v>354</v>
      </c>
      <c r="C24" s="46"/>
      <c r="D24" s="3"/>
      <c r="E24" s="46"/>
      <c r="F24" s="46" t="s">
        <v>331</v>
      </c>
      <c r="G24" s="46"/>
      <c r="H24" s="46"/>
    </row>
    <row r="25" spans="1:8">
      <c r="A25" s="3" t="s">
        <v>355</v>
      </c>
      <c r="B25" s="3" t="s">
        <v>356</v>
      </c>
      <c r="C25" s="46"/>
      <c r="D25" s="46"/>
      <c r="E25" s="46"/>
      <c r="F25" s="46" t="s">
        <v>331</v>
      </c>
      <c r="G25" s="46"/>
      <c r="H25" s="46"/>
    </row>
    <row r="26" spans="1:8">
      <c r="A26" s="3" t="s">
        <v>357</v>
      </c>
      <c r="B26" s="3" t="s">
        <v>358</v>
      </c>
      <c r="C26" s="46"/>
      <c r="D26" s="46"/>
      <c r="E26" s="46"/>
      <c r="F26" s="46" t="s">
        <v>331</v>
      </c>
      <c r="G26" s="46"/>
      <c r="H26" s="46"/>
    </row>
    <row r="27" spans="1:8">
      <c r="A27" s="3" t="s">
        <v>357</v>
      </c>
      <c r="B27" s="3" t="s">
        <v>359</v>
      </c>
      <c r="C27" s="46"/>
      <c r="D27" s="46"/>
      <c r="E27" s="46"/>
      <c r="F27" s="46" t="s">
        <v>331</v>
      </c>
      <c r="G27" s="46"/>
      <c r="H27" s="46"/>
    </row>
    <row r="28" spans="1:8">
      <c r="A28" s="3" t="s">
        <v>357</v>
      </c>
      <c r="B28" s="3" t="s">
        <v>360</v>
      </c>
      <c r="D28" s="46"/>
      <c r="E28" s="46" t="s">
        <v>331</v>
      </c>
      <c r="F28" s="3"/>
      <c r="G28" s="46"/>
      <c r="H28" s="46"/>
    </row>
    <row r="29" spans="1:8">
      <c r="A29" s="3" t="s">
        <v>357</v>
      </c>
      <c r="B29" s="3" t="s">
        <v>361</v>
      </c>
      <c r="C29" s="46" t="s">
        <v>331</v>
      </c>
      <c r="D29" s="46"/>
      <c r="E29" s="46"/>
      <c r="F29" s="46"/>
      <c r="G29" s="46"/>
      <c r="H29" s="46"/>
    </row>
    <row r="30" spans="1:8">
      <c r="A30" s="3" t="s">
        <v>357</v>
      </c>
      <c r="B30" s="3" t="s">
        <v>362</v>
      </c>
      <c r="C30" s="3"/>
      <c r="D30" s="3"/>
      <c r="E30" s="3" t="s">
        <v>331</v>
      </c>
      <c r="F30" s="3"/>
      <c r="G30" s="3"/>
      <c r="H30" s="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6"/>
  <sheetViews>
    <sheetView zoomScale="140" zoomScaleNormal="140" workbookViewId="0">
      <selection activeCell="B2" sqref="B2"/>
    </sheetView>
  </sheetViews>
  <sheetFormatPr defaultColWidth="8.85546875" defaultRowHeight="15"/>
  <cols>
    <col min="1" max="1" width="26.140625" customWidth="1"/>
    <col min="9" max="9" width="12" customWidth="1"/>
    <col min="10" max="10" width="11.140625" customWidth="1"/>
  </cols>
  <sheetData>
    <row r="1" spans="1:14" ht="42" customHeight="1" thickBot="1">
      <c r="A1" s="22" t="s">
        <v>363</v>
      </c>
      <c r="B1" s="23" t="s">
        <v>364</v>
      </c>
      <c r="C1" s="23" t="s">
        <v>365</v>
      </c>
      <c r="D1" s="23" t="s">
        <v>366</v>
      </c>
      <c r="E1" s="23" t="s">
        <v>367</v>
      </c>
      <c r="F1" s="23" t="s">
        <v>368</v>
      </c>
      <c r="G1" s="23" t="s">
        <v>369</v>
      </c>
      <c r="H1" s="23" t="s">
        <v>370</v>
      </c>
      <c r="I1" s="23" t="s">
        <v>371</v>
      </c>
      <c r="J1" s="23" t="s">
        <v>356</v>
      </c>
      <c r="K1" s="23" t="s">
        <v>372</v>
      </c>
      <c r="L1" s="23" t="s">
        <v>373</v>
      </c>
      <c r="M1" s="24" t="s">
        <v>374</v>
      </c>
      <c r="N1" s="11" t="s">
        <v>375</v>
      </c>
    </row>
    <row r="2" spans="1:14" ht="23.25" customHeight="1">
      <c r="A2" s="25" t="s">
        <v>376</v>
      </c>
      <c r="B2" s="26" t="s">
        <v>377</v>
      </c>
      <c r="C2" s="26" t="s">
        <v>377</v>
      </c>
      <c r="D2" s="26" t="s">
        <v>377</v>
      </c>
      <c r="E2" s="26" t="s">
        <v>377</v>
      </c>
      <c r="F2" s="11"/>
      <c r="G2" s="27" t="s">
        <v>378</v>
      </c>
      <c r="H2" s="11"/>
      <c r="J2" s="11"/>
      <c r="K2" s="27" t="s">
        <v>378</v>
      </c>
      <c r="M2" s="28"/>
    </row>
    <row r="3" spans="1:14">
      <c r="A3" s="25" t="s">
        <v>379</v>
      </c>
      <c r="B3" s="26"/>
      <c r="C3" s="26"/>
      <c r="D3" s="26"/>
      <c r="E3" s="26"/>
      <c r="F3" s="11"/>
      <c r="G3" s="27"/>
      <c r="H3" s="11"/>
      <c r="J3" s="27"/>
      <c r="K3" s="27"/>
      <c r="M3" s="28"/>
    </row>
    <row r="4" spans="1:14">
      <c r="A4" s="25" t="s">
        <v>380</v>
      </c>
      <c r="B4" s="26"/>
      <c r="C4" s="26"/>
      <c r="D4" s="12"/>
      <c r="E4" s="11"/>
      <c r="F4" s="11"/>
      <c r="G4" s="11"/>
      <c r="H4" s="11"/>
      <c r="J4" s="11"/>
      <c r="K4" s="11"/>
      <c r="L4" s="27"/>
      <c r="M4" s="28"/>
    </row>
    <row r="5" spans="1:14">
      <c r="A5" s="25" t="s">
        <v>381</v>
      </c>
      <c r="B5" s="26"/>
      <c r="C5" s="26"/>
      <c r="D5" s="12"/>
      <c r="E5" s="11"/>
      <c r="F5" s="11"/>
      <c r="G5" s="27" t="s">
        <v>378</v>
      </c>
      <c r="H5" s="11"/>
      <c r="J5" s="11"/>
      <c r="K5" s="11"/>
      <c r="L5" s="27"/>
      <c r="M5" s="28"/>
    </row>
    <row r="6" spans="1:14" ht="34.5" customHeight="1">
      <c r="A6" s="25" t="s">
        <v>382</v>
      </c>
      <c r="B6" s="26"/>
      <c r="C6" s="26"/>
      <c r="D6" s="26"/>
      <c r="E6" s="26"/>
      <c r="F6" s="11"/>
      <c r="G6" s="27" t="s">
        <v>378</v>
      </c>
      <c r="H6" s="27"/>
      <c r="J6" s="11"/>
      <c r="K6" s="27"/>
      <c r="M6" s="28"/>
    </row>
    <row r="7" spans="1:14">
      <c r="A7" s="25" t="s">
        <v>383</v>
      </c>
      <c r="B7" s="26"/>
      <c r="C7" s="26"/>
      <c r="D7" s="12"/>
      <c r="E7" s="11"/>
      <c r="F7" s="11"/>
      <c r="G7" s="11"/>
      <c r="H7" s="11"/>
      <c r="I7" s="27"/>
      <c r="J7" s="11"/>
      <c r="M7" s="28"/>
    </row>
    <row r="8" spans="1:14" ht="34.5" customHeight="1">
      <c r="A8" s="25" t="s">
        <v>384</v>
      </c>
      <c r="B8" s="26"/>
      <c r="C8" s="26"/>
      <c r="D8" s="12"/>
      <c r="E8" s="11"/>
      <c r="F8" s="11"/>
      <c r="G8" s="11"/>
      <c r="H8" s="11"/>
      <c r="I8" s="29"/>
      <c r="J8" s="11"/>
      <c r="L8" s="27"/>
      <c r="M8" s="28"/>
    </row>
    <row r="9" spans="1:14" ht="34.5" customHeight="1">
      <c r="A9" s="25" t="s">
        <v>385</v>
      </c>
      <c r="B9" s="26"/>
      <c r="C9" s="26"/>
      <c r="D9" s="26"/>
      <c r="E9" s="11"/>
      <c r="F9" s="11"/>
      <c r="G9" s="27"/>
      <c r="H9" s="27"/>
      <c r="I9" s="11"/>
      <c r="J9" s="11"/>
      <c r="M9" s="27"/>
    </row>
    <row r="10" spans="1:14" ht="34.5" customHeight="1">
      <c r="A10" s="25" t="s">
        <v>386</v>
      </c>
      <c r="B10" s="26"/>
      <c r="C10" s="26"/>
      <c r="D10" s="26"/>
      <c r="E10" s="11"/>
      <c r="F10" s="11"/>
      <c r="G10" s="27"/>
      <c r="H10" s="27"/>
      <c r="I10" s="11"/>
      <c r="J10" s="11"/>
      <c r="M10" s="27"/>
    </row>
    <row r="11" spans="1:14" ht="34.5" customHeight="1">
      <c r="A11" s="25" t="s">
        <v>387</v>
      </c>
      <c r="B11" s="26"/>
      <c r="C11" s="26"/>
      <c r="D11" s="26"/>
      <c r="E11" s="11"/>
      <c r="F11" s="11"/>
      <c r="G11" s="27"/>
      <c r="H11" s="27"/>
      <c r="I11" s="11"/>
      <c r="J11" s="11"/>
      <c r="M11" s="27"/>
    </row>
    <row r="12" spans="1:14">
      <c r="A12" s="25" t="s">
        <v>388</v>
      </c>
      <c r="B12" s="26"/>
      <c r="C12" s="26"/>
      <c r="D12" s="12"/>
      <c r="E12" s="11"/>
      <c r="F12" s="11"/>
      <c r="G12" s="11"/>
      <c r="H12" s="11"/>
      <c r="I12" s="11"/>
      <c r="J12" s="11"/>
      <c r="L12" s="27"/>
      <c r="M12" s="28"/>
    </row>
    <row r="13" spans="1:14">
      <c r="A13" s="25"/>
      <c r="B13" s="26"/>
      <c r="C13" s="26"/>
      <c r="D13" s="12"/>
      <c r="E13" s="11"/>
      <c r="F13" s="11"/>
      <c r="G13" s="11"/>
      <c r="H13" s="11"/>
      <c r="I13" s="11"/>
      <c r="J13" s="11"/>
      <c r="M13" s="27"/>
    </row>
    <row r="14" spans="1:14">
      <c r="A14" s="30" t="s">
        <v>389</v>
      </c>
      <c r="B14" s="26" t="s">
        <v>377</v>
      </c>
      <c r="C14" s="31"/>
      <c r="D14" s="31"/>
      <c r="E14" s="31"/>
      <c r="F14" s="31"/>
      <c r="G14" s="31"/>
      <c r="H14" s="31"/>
      <c r="I14" s="31"/>
      <c r="J14" s="31"/>
      <c r="K14" s="32"/>
      <c r="L14" s="32"/>
      <c r="M14" s="33"/>
    </row>
    <row r="15" spans="1:14">
      <c r="A15" s="26" t="s">
        <v>390</v>
      </c>
      <c r="B15" s="39" t="s">
        <v>391</v>
      </c>
      <c r="C15" s="39"/>
      <c r="D15" s="39"/>
      <c r="E15" s="39"/>
      <c r="F15" s="39"/>
      <c r="G15" s="39"/>
      <c r="H15" s="39"/>
      <c r="I15" s="39"/>
      <c r="J15" s="39"/>
      <c r="K15" s="39"/>
      <c r="L15" s="39"/>
      <c r="M15" s="39"/>
    </row>
    <row r="16" spans="1:14">
      <c r="A16" s="27" t="s">
        <v>392</v>
      </c>
      <c r="B16" s="39" t="s">
        <v>393</v>
      </c>
      <c r="C16" s="39"/>
      <c r="D16" s="39"/>
      <c r="E16" s="39"/>
      <c r="F16" s="39"/>
      <c r="G16" s="39"/>
      <c r="H16" s="39"/>
      <c r="I16" s="39"/>
      <c r="J16" s="39"/>
      <c r="K16" s="39"/>
      <c r="L16" s="39"/>
      <c r="M16" s="39"/>
    </row>
    <row r="17" spans="1:8">
      <c r="A17" s="13"/>
      <c r="B17" s="12"/>
      <c r="C17" s="12"/>
      <c r="D17" s="14"/>
      <c r="E17" s="14"/>
      <c r="F17" s="14"/>
      <c r="G17" s="14"/>
      <c r="H17" s="14"/>
    </row>
    <row r="18" spans="1:8">
      <c r="A18" s="13"/>
      <c r="B18" s="12"/>
      <c r="C18" s="12"/>
      <c r="D18" s="14"/>
      <c r="E18" s="14"/>
      <c r="F18" s="14"/>
      <c r="G18" s="14"/>
      <c r="H18" s="14"/>
    </row>
    <row r="19" spans="1:8">
      <c r="A19" s="13"/>
      <c r="B19" s="12"/>
      <c r="C19" s="12"/>
      <c r="D19" s="14"/>
      <c r="E19" s="14"/>
      <c r="F19" s="14"/>
      <c r="G19" s="14"/>
      <c r="H19" s="14"/>
    </row>
    <row r="20" spans="1:8">
      <c r="A20" s="13"/>
      <c r="B20" s="12"/>
      <c r="C20" s="12"/>
      <c r="D20" s="14"/>
      <c r="E20" s="14"/>
      <c r="F20" s="14"/>
      <c r="G20" s="14"/>
      <c r="H20" s="14"/>
    </row>
    <row r="21" spans="1:8">
      <c r="A21" s="13"/>
      <c r="B21" s="12"/>
      <c r="C21" s="12"/>
      <c r="D21" s="14"/>
      <c r="E21" s="14"/>
      <c r="F21" s="14"/>
      <c r="G21" s="14"/>
      <c r="H21" s="14"/>
    </row>
    <row r="22" spans="1:8">
      <c r="A22" s="13"/>
      <c r="B22" s="12"/>
      <c r="C22" s="12"/>
      <c r="D22" s="14"/>
      <c r="E22" s="14"/>
      <c r="F22" s="14"/>
      <c r="G22" s="14"/>
      <c r="H22" s="14"/>
    </row>
    <row r="23" spans="1:8">
      <c r="A23" s="13"/>
      <c r="B23" s="12"/>
      <c r="C23" s="12"/>
      <c r="D23" s="14"/>
      <c r="E23" s="14"/>
      <c r="F23" s="14"/>
      <c r="G23" s="14"/>
      <c r="H23" s="14"/>
    </row>
    <row r="24" spans="1:8">
      <c r="A24" s="13"/>
      <c r="B24" s="12"/>
      <c r="C24" s="12"/>
      <c r="D24" s="14"/>
      <c r="E24" s="14"/>
      <c r="F24" s="14"/>
      <c r="G24" s="14"/>
      <c r="H24" s="14"/>
    </row>
    <row r="25" spans="1:8">
      <c r="A25" s="13"/>
      <c r="B25" s="12"/>
      <c r="C25" s="12"/>
    </row>
    <row r="26" spans="1:8">
      <c r="A26" s="9"/>
      <c r="B26" s="12"/>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20" zoomScaleNormal="120" workbookViewId="0">
      <selection activeCell="A2" sqref="A2"/>
    </sheetView>
  </sheetViews>
  <sheetFormatPr defaultColWidth="8.85546875" defaultRowHeight="1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36" customFormat="1" ht="72">
      <c r="A1" s="37" t="s">
        <v>394</v>
      </c>
      <c r="B1" s="38" t="s">
        <v>395</v>
      </c>
      <c r="C1" s="38" t="s">
        <v>396</v>
      </c>
      <c r="D1" s="38" t="s">
        <v>397</v>
      </c>
      <c r="E1" s="38" t="s">
        <v>398</v>
      </c>
      <c r="F1" s="38" t="s">
        <v>399</v>
      </c>
      <c r="G1" s="38" t="s">
        <v>400</v>
      </c>
      <c r="H1" s="38" t="s">
        <v>401</v>
      </c>
      <c r="I1" s="38" t="s">
        <v>402</v>
      </c>
      <c r="J1" s="38" t="s">
        <v>403</v>
      </c>
      <c r="K1" s="38" t="s">
        <v>404</v>
      </c>
    </row>
    <row r="2" spans="1:11" s="36" customFormat="1">
      <c r="A2" s="35"/>
      <c r="B2" s="35"/>
      <c r="C2" s="35"/>
      <c r="D2" s="35"/>
      <c r="E2" s="35"/>
      <c r="F2" s="35"/>
      <c r="G2" s="35"/>
      <c r="H2" s="35"/>
      <c r="I2" s="35"/>
      <c r="J2" s="35"/>
      <c r="K2" s="35"/>
    </row>
    <row r="3" spans="1:11" s="36" customFormat="1">
      <c r="A3" s="35"/>
      <c r="B3" s="35"/>
      <c r="C3" s="35"/>
      <c r="D3" s="35"/>
      <c r="E3" s="35"/>
      <c r="F3" s="35"/>
      <c r="G3" s="35"/>
      <c r="H3" s="35"/>
      <c r="I3" s="35"/>
      <c r="J3" s="35"/>
      <c r="K3" s="35"/>
    </row>
    <row r="4" spans="1:11" s="36" customFormat="1">
      <c r="A4" s="35"/>
      <c r="B4" s="35"/>
      <c r="C4" s="35"/>
      <c r="D4" s="35"/>
      <c r="E4" s="35"/>
      <c r="F4" s="35"/>
      <c r="G4" s="35"/>
      <c r="H4" s="35"/>
      <c r="I4" s="35"/>
      <c r="J4" s="35"/>
      <c r="K4" s="35"/>
    </row>
    <row r="5" spans="1:11" s="36" customFormat="1">
      <c r="A5" s="35"/>
      <c r="B5" s="35"/>
      <c r="C5" s="35"/>
      <c r="D5" s="35"/>
      <c r="E5" s="35"/>
      <c r="F5" s="35"/>
      <c r="G5" s="35"/>
      <c r="H5" s="35"/>
      <c r="I5" s="35"/>
      <c r="J5" s="35"/>
      <c r="K5" s="35"/>
    </row>
    <row r="6" spans="1:11" s="36" customFormat="1">
      <c r="A6" s="35"/>
      <c r="B6" s="35"/>
      <c r="C6" s="35"/>
      <c r="D6" s="35"/>
      <c r="E6" s="35"/>
      <c r="F6" s="35"/>
      <c r="G6" s="35"/>
      <c r="H6" s="35"/>
      <c r="I6" s="35"/>
      <c r="J6" s="35"/>
      <c r="K6" s="35"/>
    </row>
    <row r="7" spans="1:11" s="36" customFormat="1">
      <c r="A7" s="35"/>
      <c r="B7" s="35"/>
      <c r="C7" s="35"/>
      <c r="D7" s="35"/>
      <c r="E7" s="35"/>
      <c r="F7" s="35"/>
      <c r="G7" s="35"/>
      <c r="H7" s="35"/>
      <c r="I7" s="35"/>
      <c r="J7" s="35"/>
      <c r="K7" s="35"/>
    </row>
    <row r="8" spans="1:11" s="36" customFormat="1">
      <c r="A8" s="35"/>
      <c r="B8" s="35"/>
      <c r="C8" s="35"/>
      <c r="D8" s="35"/>
      <c r="E8" s="35"/>
      <c r="F8" s="35"/>
      <c r="G8" s="35"/>
      <c r="H8" s="35"/>
      <c r="I8" s="35"/>
      <c r="J8" s="35"/>
      <c r="K8" s="35"/>
    </row>
    <row r="9" spans="1:11" s="36" customFormat="1">
      <c r="A9" s="35"/>
      <c r="B9" s="35"/>
      <c r="C9" s="35"/>
      <c r="D9" s="35"/>
      <c r="E9" s="35"/>
      <c r="F9" s="35"/>
      <c r="G9" s="35"/>
      <c r="H9" s="35"/>
      <c r="I9" s="35"/>
      <c r="J9" s="35"/>
      <c r="K9" s="35"/>
    </row>
    <row r="10" spans="1:11" s="36" customFormat="1">
      <c r="A10" s="35"/>
      <c r="B10" s="35"/>
      <c r="C10" s="35"/>
      <c r="D10" s="35"/>
      <c r="E10" s="35"/>
      <c r="F10" s="35"/>
      <c r="G10" s="35"/>
      <c r="H10" s="35"/>
      <c r="I10" s="35"/>
      <c r="J10" s="35"/>
      <c r="K10" s="35"/>
    </row>
    <row r="11" spans="1:11" s="36" customFormat="1">
      <c r="A11" s="35"/>
      <c r="B11" s="35"/>
      <c r="C11" s="35"/>
      <c r="D11" s="35"/>
      <c r="E11" s="35"/>
      <c r="F11" s="35"/>
      <c r="G11" s="35"/>
      <c r="H11" s="35"/>
      <c r="I11" s="35"/>
      <c r="J11" s="35"/>
      <c r="K11" s="35"/>
    </row>
    <row r="12" spans="1:11" s="36" customFormat="1">
      <c r="A12" s="35"/>
      <c r="B12" s="35"/>
      <c r="C12" s="35"/>
      <c r="D12" s="35"/>
      <c r="E12" s="35"/>
      <c r="F12" s="35"/>
      <c r="G12" s="35"/>
      <c r="H12" s="35"/>
      <c r="I12" s="35"/>
      <c r="J12" s="35"/>
      <c r="K12" s="35"/>
    </row>
    <row r="13" spans="1:11" s="36" customFormat="1">
      <c r="A13" s="35"/>
      <c r="B13" s="35"/>
      <c r="C13" s="35"/>
      <c r="D13" s="35"/>
      <c r="E13" s="35"/>
      <c r="F13" s="35"/>
      <c r="G13" s="35"/>
      <c r="H13" s="35"/>
      <c r="I13" s="35"/>
      <c r="J13" s="35"/>
      <c r="K13" s="35"/>
    </row>
    <row r="14" spans="1:11" s="36" customFormat="1">
      <c r="A14" s="35"/>
      <c r="B14" s="35"/>
      <c r="C14" s="35"/>
      <c r="D14" s="35"/>
      <c r="E14" s="35"/>
      <c r="F14" s="35"/>
      <c r="G14" s="35"/>
      <c r="H14" s="35"/>
      <c r="I14" s="35"/>
      <c r="J14" s="35"/>
      <c r="K14" s="35"/>
    </row>
    <row r="15" spans="1:11" s="36" customFormat="1">
      <c r="A15" s="35"/>
      <c r="B15" s="35"/>
      <c r="C15" s="35"/>
      <c r="D15" s="35"/>
      <c r="E15" s="35"/>
      <c r="F15" s="35"/>
      <c r="G15" s="35"/>
      <c r="H15" s="35"/>
      <c r="I15" s="35"/>
      <c r="J15" s="35"/>
      <c r="K15" s="35"/>
    </row>
    <row r="16" spans="1:11" s="36" customFormat="1">
      <c r="A16" s="35"/>
      <c r="B16" s="35"/>
      <c r="C16" s="35"/>
      <c r="D16" s="35"/>
      <c r="E16" s="35"/>
      <c r="F16" s="35"/>
      <c r="G16" s="35"/>
      <c r="H16" s="35"/>
      <c r="I16" s="35"/>
      <c r="J16" s="35"/>
      <c r="K16" s="35"/>
    </row>
    <row r="17" spans="8:8">
      <c r="H17"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
  <sheetViews>
    <sheetView workbookViewId="0">
      <selection activeCell="B11" sqref="B11"/>
    </sheetView>
  </sheetViews>
  <sheetFormatPr defaultColWidth="8.85546875" defaultRowHeight="15"/>
  <cols>
    <col min="1" max="1" width="6.5703125" bestFit="1" customWidth="1"/>
    <col min="2" max="2" width="17.85546875" bestFit="1" customWidth="1"/>
    <col min="3" max="3" width="56.5703125" customWidth="1"/>
  </cols>
  <sheetData>
    <row r="1" spans="1:3" ht="30">
      <c r="A1" s="70" t="s">
        <v>405</v>
      </c>
      <c r="B1" s="71" t="s">
        <v>406</v>
      </c>
      <c r="C1" s="71" t="s">
        <v>407</v>
      </c>
    </row>
    <row r="2" spans="1:3" ht="43.5">
      <c r="A2" s="72" t="s">
        <v>408</v>
      </c>
      <c r="B2" s="73" t="s">
        <v>409</v>
      </c>
      <c r="C2" s="73" t="s">
        <v>410</v>
      </c>
    </row>
    <row r="3" spans="1:3" ht="43.5">
      <c r="A3" s="72" t="s">
        <v>411</v>
      </c>
      <c r="B3" s="73" t="s">
        <v>412</v>
      </c>
      <c r="C3" s="73" t="s">
        <v>413</v>
      </c>
    </row>
    <row r="4" spans="1:3" ht="57.75">
      <c r="A4" s="72" t="s">
        <v>414</v>
      </c>
      <c r="B4" s="73" t="s">
        <v>415</v>
      </c>
      <c r="C4" s="73" t="s">
        <v>416</v>
      </c>
    </row>
    <row r="5" spans="1:3" ht="57.75">
      <c r="A5" s="72" t="s">
        <v>417</v>
      </c>
      <c r="B5" s="73" t="s">
        <v>418</v>
      </c>
      <c r="C5" s="73" t="s">
        <v>419</v>
      </c>
    </row>
    <row r="6" spans="1:3" ht="57.75">
      <c r="A6" s="72" t="s">
        <v>420</v>
      </c>
      <c r="B6" s="73" t="s">
        <v>421</v>
      </c>
      <c r="C6" s="73" t="s">
        <v>422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7"/>
  <sheetViews>
    <sheetView zoomScale="130" zoomScaleNormal="130" workbookViewId="0">
      <selection activeCell="C27" sqref="C27"/>
    </sheetView>
  </sheetViews>
  <sheetFormatPr defaultRowHeight="15"/>
  <cols>
    <col min="1" max="1" width="41.28515625" customWidth="1"/>
    <col min="2" max="2" width="20.28515625" customWidth="1"/>
    <col min="3" max="3" width="62.5703125" bestFit="1" customWidth="1"/>
    <col min="4" max="4" width="83.140625" bestFit="1" customWidth="1"/>
  </cols>
  <sheetData>
    <row r="1" spans="1:4">
      <c r="A1" s="40" t="s">
        <v>423</v>
      </c>
      <c r="B1" s="40" t="s">
        <v>424</v>
      </c>
      <c r="C1" s="40" t="s">
        <v>425</v>
      </c>
      <c r="D1" s="40" t="s">
        <v>363</v>
      </c>
    </row>
    <row r="2" spans="1:4">
      <c r="A2" s="78" t="s">
        <v>426</v>
      </c>
      <c r="B2" s="77" t="s">
        <v>427</v>
      </c>
      <c r="C2" s="76" t="s">
        <v>428</v>
      </c>
      <c r="D2" s="52" t="s">
        <v>429</v>
      </c>
    </row>
    <row r="3" spans="1:4">
      <c r="A3" s="77"/>
      <c r="B3" s="77"/>
      <c r="C3" s="76"/>
      <c r="D3" s="52" t="s">
        <v>430</v>
      </c>
    </row>
    <row r="4" spans="1:4">
      <c r="A4" s="77" t="s">
        <v>431</v>
      </c>
      <c r="B4" s="77" t="s">
        <v>432</v>
      </c>
      <c r="C4" s="76" t="s">
        <v>433</v>
      </c>
      <c r="D4" s="52" t="s">
        <v>434</v>
      </c>
    </row>
    <row r="5" spans="1:4">
      <c r="A5" s="77"/>
      <c r="B5" s="77"/>
      <c r="C5" s="76"/>
      <c r="D5" s="52" t="s">
        <v>435</v>
      </c>
    </row>
    <row r="6" spans="1:4">
      <c r="A6" s="41" t="s">
        <v>436</v>
      </c>
      <c r="B6" s="41" t="s">
        <v>437</v>
      </c>
      <c r="C6" s="52" t="s">
        <v>438</v>
      </c>
      <c r="D6" s="52" t="s">
        <v>439</v>
      </c>
    </row>
    <row r="7" spans="1:4">
      <c r="A7" s="42" t="s">
        <v>440</v>
      </c>
      <c r="B7" s="58" t="s">
        <v>441</v>
      </c>
      <c r="C7" s="60" t="s">
        <v>442</v>
      </c>
      <c r="D7" s="52" t="s">
        <v>382</v>
      </c>
    </row>
    <row r="8" spans="1:4">
      <c r="A8" s="48" t="s">
        <v>443</v>
      </c>
      <c r="B8" s="41" t="s">
        <v>444</v>
      </c>
      <c r="C8" s="52" t="s">
        <v>376</v>
      </c>
      <c r="D8" s="52" t="s">
        <v>376</v>
      </c>
    </row>
    <row r="9" spans="1:4" ht="26.25">
      <c r="A9" s="42" t="s">
        <v>445</v>
      </c>
      <c r="B9" s="41" t="s">
        <v>446</v>
      </c>
      <c r="C9" s="57" t="s">
        <v>447</v>
      </c>
      <c r="D9" s="52" t="s">
        <v>386</v>
      </c>
    </row>
    <row r="10" spans="1:4">
      <c r="A10" s="42" t="s">
        <v>448</v>
      </c>
      <c r="B10" s="41" t="s">
        <v>449</v>
      </c>
      <c r="C10" s="59" t="s">
        <v>450</v>
      </c>
      <c r="D10" s="52" t="s">
        <v>451</v>
      </c>
    </row>
    <row r="11" spans="1:4">
      <c r="A11" s="41"/>
      <c r="B11" s="41"/>
      <c r="C11" s="58"/>
      <c r="D11" s="52" t="s">
        <v>452</v>
      </c>
    </row>
    <row r="12" spans="1:4">
      <c r="A12" s="44"/>
      <c r="B12" s="41"/>
      <c r="C12" s="58"/>
      <c r="D12" s="52" t="s">
        <v>453</v>
      </c>
    </row>
    <row r="13" spans="1:4">
      <c r="A13" s="44"/>
      <c r="B13" s="41"/>
      <c r="C13" s="58"/>
      <c r="D13" s="52" t="s">
        <v>454</v>
      </c>
    </row>
    <row r="14" spans="1:4">
      <c r="A14" s="44"/>
      <c r="B14" s="41"/>
      <c r="C14" s="41" t="s">
        <v>455</v>
      </c>
      <c r="D14" s="52" t="s">
        <v>456</v>
      </c>
    </row>
    <row r="15" spans="1:4">
      <c r="A15" s="44"/>
      <c r="B15" s="41"/>
      <c r="C15" s="41"/>
      <c r="D15" s="52" t="s">
        <v>457</v>
      </c>
    </row>
    <row r="16" spans="1:4">
      <c r="A16" s="44"/>
      <c r="B16" s="41"/>
      <c r="C16" s="41" t="s">
        <v>458</v>
      </c>
      <c r="D16" s="52" t="s">
        <v>459</v>
      </c>
    </row>
    <row r="17" spans="1:4">
      <c r="A17" s="44"/>
      <c r="B17" s="41"/>
      <c r="C17" s="41" t="s">
        <v>460</v>
      </c>
      <c r="D17" s="52" t="s">
        <v>461</v>
      </c>
    </row>
    <row r="18" spans="1:4">
      <c r="A18" s="44"/>
      <c r="B18" s="41"/>
      <c r="C18" s="41"/>
      <c r="D18" s="52" t="s">
        <v>462</v>
      </c>
    </row>
    <row r="19" spans="1:4">
      <c r="A19" s="42" t="s">
        <v>463</v>
      </c>
      <c r="B19" s="41" t="s">
        <v>464</v>
      </c>
      <c r="C19" s="58" t="s">
        <v>465</v>
      </c>
      <c r="D19" s="52" t="s">
        <v>466</v>
      </c>
    </row>
    <row r="20" spans="1:4">
      <c r="A20" s="41"/>
      <c r="B20" s="41"/>
      <c r="C20" s="58"/>
      <c r="D20" s="52" t="s">
        <v>467</v>
      </c>
    </row>
    <row r="21" spans="1:4">
      <c r="A21" s="41"/>
      <c r="B21" s="41"/>
      <c r="C21" s="58"/>
      <c r="D21" s="52" t="s">
        <v>468</v>
      </c>
    </row>
    <row r="22" spans="1:4">
      <c r="A22" s="41"/>
      <c r="B22" s="41"/>
      <c r="C22" s="41" t="s">
        <v>469</v>
      </c>
      <c r="D22" s="52" t="s">
        <v>470</v>
      </c>
    </row>
    <row r="23" spans="1:4">
      <c r="A23" s="41"/>
      <c r="B23" s="41"/>
      <c r="C23" s="41"/>
      <c r="D23" s="52" t="s">
        <v>471</v>
      </c>
    </row>
    <row r="24" spans="1:4">
      <c r="A24" s="41"/>
      <c r="B24" s="41"/>
      <c r="C24" s="41"/>
      <c r="D24" s="47" t="s">
        <v>472</v>
      </c>
    </row>
    <row r="25" spans="1:4">
      <c r="A25" s="41"/>
      <c r="B25" s="41"/>
      <c r="C25" s="41"/>
      <c r="D25" s="47" t="s">
        <v>472</v>
      </c>
    </row>
    <row r="26" spans="1:4">
      <c r="A26" s="42" t="s">
        <v>473</v>
      </c>
      <c r="B26" s="42" t="s">
        <v>474</v>
      </c>
      <c r="C26" s="42" t="s">
        <v>475</v>
      </c>
      <c r="D26" s="42"/>
    </row>
    <row r="27" spans="1:4">
      <c r="A27" s="43" t="s">
        <v>476</v>
      </c>
      <c r="B27" s="43" t="s">
        <v>106</v>
      </c>
      <c r="C27" s="45" t="s">
        <v>477</v>
      </c>
      <c r="D27" s="47" t="s">
        <v>478</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9F0C36-44B1-4390-B047-386ADF46CBDE}"/>
</file>

<file path=customXml/itemProps2.xml><?xml version="1.0" encoding="utf-8"?>
<ds:datastoreItem xmlns:ds="http://schemas.openxmlformats.org/officeDocument/2006/customXml" ds:itemID="{0AAC0238-D15C-4B37-AA42-F7BBC8873F46}"/>
</file>

<file path=customXml/itemProps3.xml><?xml version="1.0" encoding="utf-8"?>
<ds:datastoreItem xmlns:ds="http://schemas.openxmlformats.org/officeDocument/2006/customXml" ds:itemID="{B6570D26-28E5-4B10-84F9-A044851469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2022-09-15T04:55:13Z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