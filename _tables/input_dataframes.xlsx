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330"/>
  <workbookPr/>
  <mc:AlternateContent xmlns:mc="http://schemas.openxmlformats.org/markup-compatibility/2006">
    <mc:Choice Requires="x15">
      <x15ac:absPath xmlns:x15ac="http://schemas.microsoft.com/office/spreadsheetml/2010/11/ac" url="C:\Users\a5213\ownCloud\Nansen\Leg 5.1 2022\SailingOrdersDFN\_tables\"/>
    </mc:Choice>
  </mc:AlternateContent>
  <xr:revisionPtr revIDLastSave="0" documentId="8_{97504C7E-B276-486B-B1BF-36871F54DE05}" xr6:coauthVersionLast="47" xr6:coauthVersionMax="47" xr10:uidLastSave="{00000000-0000-0000-0000-000000000000}"/>
  <bookViews>
    <workbookView xWindow="-96" yWindow="-96" windowWidth="23232" windowHeight="12552" tabRatio="757" activeTab="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s>
  <definedNames>
    <definedName name="_xlnm._FilterDatabase" localSheetId="5" hidden="1">plannedparticipantstab!$A$1:$G$23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N32" i="2" l="1"/>
  <c r="N10" i="2"/>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21" i="2" l="1"/>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<sst xmlns="http://schemas.openxmlformats.org/spreadsheetml/2006/main" count="753" uniqueCount="448">
  <si>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</si>
  <si>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</si>
  <si>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</si>
  <si>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</si>
  <si>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</si>
  <si>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</si>
  <si>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</si>
  <si>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</si>
  <si>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</si>
  <si>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</si>
  <si>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</si>
  <si>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</si>
  <si>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</si>
  <si>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</si>
  <si>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</si>
  <si>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</si>
  <si>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</si>
  <si>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</si>
  <si>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</si>
  <si>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</si>
  <si>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</si>
  <si>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</si>
  <si>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</si>
  <si>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</si>
  <si>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</si>
  <si>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leg 5 off NW Africa.</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</si>
  <si>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</si>
  <si>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</si>
  <si>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</si>
  <si>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 used by the Department of Forestry, Fisheries and the Environment.</t>
  </si>
  <si>
    <t>fatstageanchtab</t>
  </si>
  <si>
    <t>Fat stage descriptions for anchovy used by the Department of Forestry, Fisheries and the Environment.</t>
  </si>
  <si>
    <t>fatstagesarhtab</t>
  </si>
  <si>
    <t>Fat stage descriptions for sardine and round herring used by the Department of Forestry, Fisheries and the Environment.</t>
  </si>
  <si>
    <t>fig.name</t>
  </si>
  <si>
    <t>surveyareamap</t>
  </si>
  <si>
    <t>Leg 5 survey acoustic transects off Northwest Africa to assess the abundance and distribution of small pelagic recruitment purposes. Colored lines indicate the transects of the three different surveys under leg 5, dots show start and end positions of environmental transects.</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</si>
  <si>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</si>
  <si>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</si>
  <si>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</si>
  <si>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</si>
  <si>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</si>
  <si>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</si>
  <si>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</si>
  <si>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</si>
  <si>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</si>
  <si>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</si>
  <si>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Survey Name</t>
  </si>
  <si>
    <t>Additional activity</t>
  </si>
  <si>
    <t>Duration in days</t>
  </si>
  <si>
    <t>Departure</t>
  </si>
  <si>
    <t>Arrival</t>
  </si>
  <si>
    <t>Port of Departure</t>
  </si>
  <si>
    <t>Port of Arrival</t>
  </si>
  <si>
    <t>Leg 5.1 Senegal-The Gambia</t>
  </si>
  <si>
    <t>calibration of echosounders of DFN and parallell transects with R/V from Senegal</t>
  </si>
  <si>
    <t>06/10/22</t>
  </si>
  <si>
    <t>18/10/22</t>
  </si>
  <si>
    <t>Dakar</t>
  </si>
  <si>
    <t>Leg 5.2 Mauritania + Cape Blanc-Cape Bojador</t>
  </si>
  <si>
    <t>paralell transects with R/V from Mauritania</t>
  </si>
  <si>
    <t>22/10/22</t>
  </si>
  <si>
    <t>15/11/22</t>
  </si>
  <si>
    <t>Leg 5.3 Cape Bojador- Tangier</t>
  </si>
  <si>
    <t>paralell transects with R/V from Morocco</t>
  </si>
  <si>
    <t>18/11/22</t>
  </si>
  <si>
    <t>19/12/22</t>
  </si>
  <si>
    <t>Las Palmas</t>
  </si>
  <si>
    <t xml:space="preserve">Theme </t>
  </si>
  <si>
    <t>Project</t>
  </si>
  <si>
    <t>Focal point</t>
  </si>
  <si>
    <t>Theme 1</t>
  </si>
  <si>
    <t>Identification guide to ichthyoplankton in Northwest Africa </t>
  </si>
  <si>
    <t>Edoardo Mostarda (FAO), Stamatina Isari (IMR)</t>
  </si>
  <si>
    <t>Theme 2</t>
  </si>
  <si>
    <t xml:space="preserve">Addressing population structure of shared pelagic stocks, Investigation of bias in echo sounder acoustic surveys using omni directional sonar </t>
  </si>
  <si>
    <t>Nikolaos Nikolioudakis (IMR)</t>
  </si>
  <si>
    <t>Theme 6 </t>
  </si>
  <si>
    <t>Marine debris and microplastics: occurrence and impacts on marine ecosystems</t>
  </si>
  <si>
    <t>Bjørn Einar Grøsvik (IMR), Peter Kershaw (FAO consultant and GESAMP) </t>
  </si>
  <si>
    <t>Theme 8</t>
  </si>
  <si>
    <t>Future studies of nutrient profiles, contaminants and microplastics of sardinella and anchovy </t>
  </si>
  <si>
    <t>Marian Kjellevold (IMR)</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</si>
  <si>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</si>
  <si>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</si>
  <si>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</si>
  <si>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</si>
  <si>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</si>
  <si>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</si>
  <si>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</si>
  <si>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</si>
  <si>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</si>
  <si>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</si>
  <si>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</si>
  <si>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</si>
  <si>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</si>
  <si>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</si>
  <si>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</si>
  <si>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</si>
  <si>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</si>
  <si>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</si>
  <si>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</si>
  <si>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</si>
  <si>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</si>
  <si>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</si>
  <si>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</si>
  <si>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</si>
  <si>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</si>
  <si>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</si>
  <si>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</si>
  <si>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</si>
  <si>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</si>
  <si>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</si>
  <si>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</si>
  <si>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</si>
  <si>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</si>
  <si>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</si>
  <si>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</si>
  <si>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</si>
  <si>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</si>
  <si>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</si>
  <si>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</si>
  <si>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</si>
  <si>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</si>
  <si>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</si>
  <si>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</si>
  <si>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</si>
  <si>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</si>
  <si>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</si>
  <si>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</si>
  <si>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</si>
  <si>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</si>
  <si>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</si>
  <si>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</si>
  <si>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</si>
  <si>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</si>
  <si>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</si>
  <si>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</si>
  <si>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</si>
  <si>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</si>
  <si>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</si>
  <si>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</si>
  <si>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</si>
  <si>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</si>
  <si>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</si>
  <si>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</si>
  <si>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</si>
  <si>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</si>
  <si>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</si>
  <si>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</si>
  <si>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</si>
  <si>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</si>
  <si>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David Boyer </t>
  </si>
  <si>
    <t xml:space="preserve">Diana Zaera-Perez </t>
  </si>
  <si>
    <t>Merete Kvalsund </t>
  </si>
  <si>
    <t>Tor Magne Ensrud</t>
  </si>
  <si>
    <t>Benjamin Marum</t>
  </si>
  <si>
    <t xml:space="preserve">Sindre Nygård Larsen </t>
  </si>
  <si>
    <t>Jens-Otto Krakstad </t>
  </si>
  <si>
    <t xml:space="preserve">Sarah Ann Bruck </t>
  </si>
  <si>
    <t xml:space="preserve">Frøydis Tousgaard Rist </t>
  </si>
  <si>
    <t>Astrid Fuglseth Rasmussen </t>
  </si>
  <si>
    <t>Agnethe Hertzberg </t>
  </si>
  <si>
    <t xml:space="preserve">Olaf J. Sørås </t>
  </si>
  <si>
    <t xml:space="preserve">Jori Neteland-Kyte </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</si>
  <si>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</si>
  <si>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</si>
  <si>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</si>
  <si>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</si>
  <si>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</si>
  <si>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</si>
  <si>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</si>
  <si>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</si>
  <si>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</si>
  <si>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</si>
  <si>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</si>
  <si>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</si>
  <si>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</si>
  <si>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</si>
  <si>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</si>
  <si>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</si>
  <si>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</si>
  <si>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</si>
  <si>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</si>
  <si>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</si>
  <si>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</si>
  <si>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</si>
  <si>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</si>
  <si>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</si>
  <si>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</si>
  <si>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</si>
  <si>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</si>
  <si>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</si>
  <si>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</si>
  <si>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</si>
  <si>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</si>
  <si>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</si>
  <si>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</si>
  <si>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</si>
  <si>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Plankton</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</si>
  <si>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</si>
  <si>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</si>
  <si>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</si>
  <si>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</si>
  <si>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</si>
  <si>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</si>
  <si>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</si>
  <si>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</si>
  <si>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</si>
  <si>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</si>
  <si>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</si>
  <si>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</si>
  <si>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</si>
  <si>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</si>
  <si>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</si>
  <si>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</si>
  <si>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</si>
  <si>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</si>
  <si>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</si>
  <si>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</si>
  <si>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</si>
  <si>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</si>
  <si>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</si>
  <si>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</si>
  <si>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</si>
  <si>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</si>
  <si>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</si>
  <si>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</si>
  <si>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</si>
  <si>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</si>
  <si>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</si>
  <si>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</si>
  <si>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</si>
  <si>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</si>
  <si>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</si>
  <si>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</si>
  <si>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</si>
  <si>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</si>
  <si>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</si>
  <si>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</si>
  <si>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</si>
  <si>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</si>
  <si>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</si>
  <si>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</si>
  <si>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</si>
  <si>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</si>
  <si>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</si>
  <si>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</si>
  <si>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</si>
  <si>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</si>
  <si>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</si>
  <si>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</si>
  <si>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</si>
  <si>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</si>
  <si>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</si>
  <si>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</si>
  <si>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</si>
  <si>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</si>
  <si>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</si>
  <si>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</si>
  <si>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</si>
  <si>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</si>
  <si>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</si>
  <si>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</si>
  <si>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biomass</t>
  </si>
  <si>
    <t>Phytoplankton</t>
  </si>
  <si>
    <t>Pollution</t>
  </si>
  <si>
    <t>Microplastics</t>
  </si>
  <si>
    <t>Observation platforms</t>
  </si>
  <si>
    <t>VAMS</t>
  </si>
  <si>
    <t>WBAT</t>
  </si>
  <si>
    <t>Deep Vision</t>
  </si>
  <si>
    <t xml:space="preserve">Activity diary (Survey Logger/Toktlogger) </t>
  </si>
  <si>
    <t>Nansis survey backup</t>
  </si>
  <si>
    <t>Species</t>
  </si>
  <si>
    <t>Catch (Weight / Numbers)</t>
  </si>
  <si>
    <t>Length frequency</t>
  </si>
  <si>
    <t>Wet body weight</t>
  </si>
  <si>
    <t>Sex &amp; Maturity</t>
  </si>
  <si>
    <t>Fat stage</t>
  </si>
  <si>
    <t>Otoliths</t>
  </si>
  <si>
    <t>Parasites</t>
  </si>
  <si>
    <t>Morphometrics</t>
  </si>
  <si>
    <t>Anthropogenic pollutants</t>
  </si>
  <si>
    <t>Basic biology</t>
  </si>
  <si>
    <t>Genetics</t>
  </si>
  <si>
    <t>Country</t>
  </si>
  <si>
    <t>*Engraulis encrasicolus*</t>
  </si>
  <si>
    <t>**YES**</t>
  </si>
  <si>
    <t>**√**</t>
  </si>
  <si>
    <t>*Sardinella aurita*</t>
  </si>
  <si>
    <t>*Sardinella maderensis*</t>
  </si>
  <si>
    <t>*Scomber colias*</t>
  </si>
  <si>
    <t>*Sardina pilchardus*</t>
  </si>
  <si>
    <t>*Trachurus trachurus*</t>
  </si>
  <si>
    <t>*Trachurus trecae*</t>
  </si>
  <si>
    <t>*Decapterous ronchus*</t>
  </si>
  <si>
    <t>*Ilisha africana*</t>
  </si>
  <si>
    <t>*Macroramphosus gracilis*</t>
  </si>
  <si>
    <t>*Trachurus picturatus*</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</si>
  <si>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</si>
  <si>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</si>
  <si>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</si>
  <si>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</si>
  <si>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</si>
  <si>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</si>
  <si>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</si>
  <si>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</si>
  <si>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</si>
  <si>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</si>
  <si>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</si>
  <si>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</si>
  <si>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</si>
  <si>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</si>
  <si>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</si>
  <si>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</si>
  <si>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</si>
  <si>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round herring eggs</t>
  </si>
  <si>
    <t xml:space="preserve">Bottles (250 mL) </t>
  </si>
  <si>
    <t>5% formaldehyde solution</t>
  </si>
  <si>
    <t>10 Lt  37% formaldehyde solution</t>
  </si>
  <si>
    <t>Cape Town</t>
  </si>
  <si>
    <t>Road</t>
  </si>
  <si>
    <t>DFFE^[Department of Forestry, Fisheries and the Environment]</t>
  </si>
  <si>
    <t>Carl van der Lingen, CVDLingen@dffe.gov.za</t>
  </si>
  <si>
    <t>Trawl samples</t>
  </si>
  <si>
    <t>otoliths from sardine, anchovy and round herring for age determination studies.</t>
  </si>
  <si>
    <t>Vials</t>
  </si>
  <si>
    <t>Dry</t>
  </si>
  <si>
    <t>DFFE</t>
  </si>
  <si>
    <t>sardine (both juveniles and adults) for an analysis of infection by a “tetracotyle” type digenean parasite.</t>
  </si>
  <si>
    <t>Whole fish</t>
  </si>
  <si>
    <t>Frozen</t>
  </si>
  <si>
    <t>round herring for monitoring of microplastic pollution in the SA marine pelagos.</t>
  </si>
  <si>
    <t>Frozen (&gt;20 cm length)</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</si>
  <si>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</si>
  <si>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</si>
  <si>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</si>
  <si>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</si>
  <si>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</si>
  <si>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</si>
  <si>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</si>
  <si>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</si>
  <si>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</si>
  <si>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</si>
  <si>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</si>
  <si>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</si>
  <si>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</si>
  <si>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</si>
  <si>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</si>
  <si>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</si>
  <si>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</si>
  <si>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</si>
  <si>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</si>
  <si>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</si>
  <si>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</si>
  <si>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</si>
  <si>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</si>
  <si>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</si>
  <si>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</si>
  <si>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</si>
  <si>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</si>
  <si>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</si>
  <si>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</si>
  <si>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</si>
  <si>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</si>
  <si>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</si>
  <si>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</si>
  <si>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</si>
  <si>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</si>
  <si>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</si>
  <si>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</si>
  <si>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</si>
  <si>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</si>
  <si>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</si>
  <si>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</si>
  <si>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</si>
  <si>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</si>
  <si>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</si>
  <si>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</si>
  <si>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</si>
  <si>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</si>
  <si>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</si>
  <si>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</si>
  <si>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</si>
  <si>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</si>
  <si>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</si>
  <si>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</si>
  <si>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</si>
  <si>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</si>
  <si>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</si>
  <si>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</si>
  <si>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</si>
  <si>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</si>
  <si>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</si>
  <si>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</si>
  <si>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</si>
  <si>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</si>
  <si>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</si>
  <si>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</si>
  <si>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</si>
  <si>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</si>
  <si>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</si>
  <si>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</si>
  <si>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</si>
  <si>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</si>
  <si>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</si>
  <si>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</si>
  <si>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</si>
  <si>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*Decapterus rhonchus*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</si>
  <si>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</si>
  <si>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</si>
  <si>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</si>
  <si>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</si>
  <si>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</si>
  <si>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</si>
  <si>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</si>
  <si>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</si>
  <si>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</si>
  <si>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</si>
  <si>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</si>
  <si>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</si>
  <si>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</si>
  <si>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</si>
  <si>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</si>
  <si>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</si>
  <si>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</si>
  <si>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</si>
  <si>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</si>
  <si>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MESO^[if more acoustic categories are required the codes MESO3 and MESO4 should be used, and reflected in the table of the survey report]</t>
  </si>
  <si>
    <t>Mesopelagic fish</t>
  </si>
  <si>
    <t>(e.g. Myctophidae)[Need for separate MESO or merged with Plankton?]</t>
  </si>
  <si>
    <t>*Diaphus dumerili*</t>
  </si>
  <si>
    <t>PLANK </t>
  </si>
  <si>
    <t>Plankton </t>
  </si>
  <si>
    <t>Plankton, Euphausiids</t>
  </si>
  <si>
    <t>OTHER</t>
  </si>
  <si>
    <t>*Brachydeuterus auritus*</t>
  </si>
  <si>
    <t>*Brachydeuterus auritus*^[may be put under PEL2 but used as Other in 2019]</t>
  </si>
  <si>
    <t>Momodou S Jallow</t>
  </si>
  <si>
    <t>Mami Rose Badjan</t>
  </si>
  <si>
    <t xml:space="preserve">Lamin Fofana </t>
  </si>
  <si>
    <t>Modou lamin Conteh</t>
  </si>
  <si>
    <t xml:space="preserve">Peter K Mendy </t>
  </si>
  <si>
    <t>GAMBIA</t>
  </si>
  <si>
    <t>Water Chemistry</t>
  </si>
  <si>
    <t>Fish lab</t>
  </si>
  <si>
    <t>ITALY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</si>
</sst>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7"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5"/>
      <color rgb="FF212121"/>
      <name val="Arial"/>
      <family val="2"/>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s>
  <fills count="9">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s>
  <borders count="1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78">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4"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5" fillId="0" borderId="0" xfId="0" applyFont="1" applyAlignment="1">
      <alignment wrapText="1"/>
    </xf>
    <xf numFmtId="0" fontId="0" fillId="0" borderId="0" xfId="0" applyAlignment="1">
      <alignment horizontal="center" vertical="center"/>
    </xf>
    <xf numFmtId="0" fontId="3" fillId="0" borderId="0" xfId="1" applyBorder="1"/>
    <xf numFmtId="0" fontId="8"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6" fillId="0" borderId="0" xfId="0" applyFont="1"/>
    <xf numFmtId="0" fontId="5" fillId="0" borderId="0" xfId="0" applyFont="1" applyAlignment="1">
      <alignment vertical="center"/>
    </xf>
    <xf numFmtId="0" fontId="17" fillId="0" borderId="0" xfId="0" applyFont="1"/>
    <xf numFmtId="164" fontId="8" fillId="0" borderId="0" xfId="0" quotePrefix="1" applyNumberFormat="1" applyFont="1" applyAlignment="1">
      <alignment horizontal="right" wrapText="1"/>
    </xf>
    <xf numFmtId="0" fontId="7" fillId="3" borderId="0" xfId="0" applyFont="1" applyFill="1"/>
    <xf numFmtId="0" fontId="13" fillId="0" borderId="5" xfId="0" applyFont="1" applyBorder="1" applyAlignment="1">
      <alignment vertical="center" wrapText="1"/>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1" fillId="0" borderId="8" xfId="0" applyFont="1" applyBorder="1" applyAlignment="1">
      <alignment vertical="center" wrapText="1"/>
    </xf>
    <xf numFmtId="0" fontId="9" fillId="4" borderId="0" xfId="0" applyFont="1" applyFill="1" applyAlignment="1">
      <alignment horizontal="center" vertical="center" wrapText="1"/>
    </xf>
    <xf numFmtId="0" fontId="9" fillId="5" borderId="0" xfId="0" applyFont="1" applyFill="1" applyAlignment="1">
      <alignment horizontal="center" vertical="center" wrapText="1"/>
    </xf>
    <xf numFmtId="0" fontId="0" fillId="0" borderId="9" xfId="0" applyBorder="1"/>
    <xf numFmtId="0" fontId="18" fillId="0" borderId="0" xfId="0" applyFont="1" applyAlignment="1">
      <alignment horizontal="center" vertical="center" wrapText="1"/>
    </xf>
    <xf numFmtId="0" fontId="9" fillId="0" borderId="10" xfId="0" applyFont="1" applyBorder="1" applyAlignment="1">
      <alignment vertical="center" wrapText="1"/>
    </xf>
    <xf numFmtId="0" fontId="13" fillId="0" borderId="11" xfId="0" applyFont="1" applyBorder="1" applyAlignment="1">
      <alignment horizontal="center" vertical="center" wrapText="1"/>
    </xf>
    <xf numFmtId="0" fontId="0" fillId="0" borderId="11" xfId="0" applyBorder="1"/>
    <xf numFmtId="0" fontId="0" fillId="0" borderId="12" xfId="0"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4" fillId="0" borderId="15" xfId="0" applyFont="1" applyBorder="1" applyAlignment="1">
      <alignment vertical="center" wrapText="1"/>
    </xf>
    <xf numFmtId="0" fontId="0" fillId="0" borderId="15" xfId="0" applyBorder="1"/>
    <xf numFmtId="0" fontId="4" fillId="2" borderId="4" xfId="0" applyFont="1" applyFill="1" applyBorder="1" applyAlignment="1">
      <alignment horizontal="center" vertical="center" wrapText="1"/>
    </xf>
    <xf numFmtId="0" fontId="4" fillId="2" borderId="16" xfId="0" applyFont="1" applyFill="1" applyBorder="1" applyAlignment="1">
      <alignment horizontal="center" vertical="center" wrapText="1"/>
    </xf>
    <xf numFmtId="0" fontId="18" fillId="0" borderId="0" xfId="0" applyFont="1" applyAlignment="1">
      <alignment vertical="top"/>
    </xf>
    <xf numFmtId="0" fontId="21" fillId="0" borderId="0" xfId="0" applyFont="1" applyAlignment="1">
      <alignment wrapText="1"/>
    </xf>
    <xf numFmtId="0" fontId="22" fillId="0" borderId="0" xfId="0" applyFont="1" applyAlignment="1">
      <alignment wrapText="1"/>
    </xf>
    <xf numFmtId="0" fontId="22" fillId="0" borderId="13" xfId="0" applyFont="1" applyBorder="1" applyAlignment="1">
      <alignment wrapText="1"/>
    </xf>
    <xf numFmtId="0" fontId="22" fillId="0" borderId="13" xfId="0" applyFont="1" applyBorder="1"/>
    <xf numFmtId="0" fontId="24" fillId="0" borderId="0" xfId="0" applyFont="1"/>
    <xf numFmtId="0" fontId="11" fillId="0" borderId="13" xfId="0" applyFont="1" applyBorder="1"/>
    <xf numFmtId="0" fontId="22" fillId="0" borderId="14" xfId="0" applyFont="1" applyBorder="1"/>
    <xf numFmtId="0" fontId="7" fillId="0" borderId="0" xfId="0" applyFont="1" applyAlignment="1">
      <alignment horizontal="center"/>
    </xf>
    <xf numFmtId="0" fontId="23" fillId="0" borderId="13" xfId="0" applyFont="1" applyBorder="1" applyAlignment="1">
      <alignment wrapText="1"/>
    </xf>
    <xf numFmtId="0" fontId="9" fillId="0" borderId="14" xfId="0" applyFont="1" applyBorder="1"/>
    <xf numFmtId="0" fontId="9" fillId="0" borderId="13" xfId="0" applyFont="1" applyBorder="1" applyAlignment="1">
      <alignment wrapText="1"/>
    </xf>
    <xf numFmtId="0" fontId="3" fillId="0" borderId="0" xfId="1" applyBorder="1" applyAlignment="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3" fillId="0" borderId="0" xfId="0" applyFont="1" applyAlignment="1">
      <alignment wrapText="1"/>
    </xf>
    <xf numFmtId="0" fontId="0" fillId="3" borderId="0" xfId="0" applyFill="1"/>
    <xf numFmtId="0" fontId="7" fillId="7" borderId="0" xfId="0" applyFont="1" applyFill="1"/>
    <xf numFmtId="0" fontId="0" fillId="6" borderId="0" xfId="0" applyFill="1"/>
    <xf numFmtId="0" fontId="19" fillId="0" borderId="0" xfId="0" applyFont="1" applyAlignment="1">
      <alignment horizontal="center" vertical="center"/>
    </xf>
    <xf numFmtId="0" fontId="11" fillId="0" borderId="0" xfId="0" applyFont="1" applyAlignment="1">
      <alignment wrapText="1"/>
    </xf>
    <xf numFmtId="0" fontId="22" fillId="0" borderId="0" xfId="0" applyFont="1"/>
    <xf numFmtId="0" fontId="9" fillId="0" borderId="0" xfId="0" applyFont="1"/>
    <xf numFmtId="0" fontId="11" fillId="0" borderId="0" xfId="0" applyFont="1"/>
    <xf numFmtId="0" fontId="25" fillId="0" borderId="0" xfId="0" applyFont="1"/>
    <xf numFmtId="0" fontId="25" fillId="6" borderId="0" xfId="0" applyFont="1" applyFill="1"/>
    <xf numFmtId="0" fontId="26" fillId="8" borderId="0" xfId="0" applyFont="1" applyFill="1"/>
    <xf numFmtId="0" fontId="26" fillId="0" borderId="0" xfId="0" applyFont="1"/>
    <xf numFmtId="0" fontId="23" fillId="0" borderId="0" xfId="0" applyFont="1" applyAlignment="1">
      <alignment wrapText="1"/>
    </xf>
    <xf numFmtId="0" fontId="22" fillId="0" borderId="0" xfId="0" applyFont="1" applyAlignment="1">
      <alignment wrapText="1"/>
    </xf>
    <xf numFmtId="0" fontId="22" fillId="0" borderId="13"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7" sqref="B17"/>
    </sheetView>
  </sheetViews>
  <sheetFormatPr defaultColWidth="8.83984375" defaultRowHeight="14.4" x14ac:dyDescent="0.55000000000000004"/>
  <cols>
    <col min="1" max="1" width="24.83984375" bestFit="1" customWidth="1"/>
    <col min="2" max="2" width="235.41796875" bestFit="1" customWidth="1"/>
  </cols>
  <sheetData>
    <row r="1" spans="1:2" x14ac:dyDescent="0.55000000000000004">
      <c r="A1" s="4" t="s">
        <v>0</v>
      </c>
      <c r="B1" s="4" t="s">
        <v>1</v>
      </c>
    </row>
    <row r="2" spans="1:2" x14ac:dyDescent="0.55000000000000004">
      <c r="A2" s="5" t="s">
        <v>2</v>
      </c>
      <c r="B2" s="5" t="s">
        <v>3</v>
      </c>
    </row>
    <row r="3" spans="1:2" x14ac:dyDescent="0.55000000000000004">
      <c r="A3" s="5" t="s">
        <v>4</v>
      </c>
      <c r="B3" s="5" t="s">
        <v>5</v>
      </c>
    </row>
    <row r="4" spans="1:2" ht="15.6" x14ac:dyDescent="0.6">
      <c r="A4" s="7" t="s">
        <v>6</v>
      </c>
      <c r="B4" s="5" t="s">
        <v>7</v>
      </c>
    </row>
    <row r="5" spans="1:2" ht="15.6" x14ac:dyDescent="0.6">
      <c r="A5" s="5" t="s">
        <v>8</v>
      </c>
      <c r="B5" s="7" t="s">
        <v>9</v>
      </c>
    </row>
    <row r="6" spans="1:2" x14ac:dyDescent="0.55000000000000004">
      <c r="A6" s="5" t="s">
        <v>10</v>
      </c>
      <c r="B6" s="5" t="s">
        <v>11</v>
      </c>
    </row>
    <row r="7" spans="1:2" x14ac:dyDescent="0.55000000000000004">
      <c r="A7" s="5" t="s">
        <v>12</v>
      </c>
      <c r="B7" s="5" t="s">
        <v>13</v>
      </c>
    </row>
    <row r="8" spans="1:2" ht="15.6" x14ac:dyDescent="0.6">
      <c r="A8" s="7" t="s">
        <v>14</v>
      </c>
      <c r="B8" s="5" t="s">
        <v>15</v>
      </c>
    </row>
    <row r="9" spans="1:2" x14ac:dyDescent="0.55000000000000004">
      <c r="A9" s="5" t="s">
        <v>16</v>
      </c>
      <c r="B9" s="5" t="s">
        <v>17</v>
      </c>
    </row>
    <row r="10" spans="1:2" x14ac:dyDescent="0.55000000000000004">
      <c r="A10" t="s">
        <v>18</v>
      </c>
      <c r="B10" s="5" t="s">
        <v>19</v>
      </c>
    </row>
    <row r="11" spans="1:2" ht="15.6" x14ac:dyDescent="0.6">
      <c r="A11" s="7" t="s">
        <v>20</v>
      </c>
      <c r="B11" s="5" t="s">
        <v>21</v>
      </c>
    </row>
    <row r="12" spans="1:2" x14ac:dyDescent="0.55000000000000004">
      <c r="A12" t="s">
        <v>22</v>
      </c>
      <c r="B12" t="s">
        <v>23</v>
      </c>
    </row>
    <row r="13" spans="1:2" x14ac:dyDescent="0.55000000000000004">
      <c r="A13" t="s">
        <v>24</v>
      </c>
      <c r="B13" t="s">
        <v>25</v>
      </c>
    </row>
    <row r="14" spans="1:2" x14ac:dyDescent="0.55000000000000004">
      <c r="A14" t="s">
        <v>26</v>
      </c>
      <c r="B14" t="s">
        <v>27</v>
      </c>
    </row>
    <row r="15" spans="1:2" x14ac:dyDescent="0.55000000000000004">
      <c r="A15" t="s">
        <v>28</v>
      </c>
      <c r="B15" t="s">
        <v>29</v>
      </c>
    </row>
    <row r="16" spans="1:2" x14ac:dyDescent="0.55000000000000004">
      <c r="A16" t="s">
        <v>30</v>
      </c>
      <c r="B16" t="s">
        <v>31</v>
      </c>
    </row>
    <row r="17" spans="1:2" x14ac:dyDescent="0.55000000000000004">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B7" sqref="B7"/>
    </sheetView>
  </sheetViews>
  <sheetFormatPr defaultColWidth="8.83984375" defaultRowHeight="14.4" x14ac:dyDescent="0.55000000000000004"/>
  <cols>
    <col min="1" max="1" width="27.26171875" bestFit="1" customWidth="1"/>
    <col min="2" max="2" width="57.26171875" bestFit="1" customWidth="1"/>
  </cols>
  <sheetData>
    <row r="1" spans="1:2" x14ac:dyDescent="0.55000000000000004">
      <c r="A1" s="1" t="s">
        <v>34</v>
      </c>
      <c r="B1" s="1" t="s">
        <v>1</v>
      </c>
    </row>
    <row r="2" spans="1:2" x14ac:dyDescent="0.55000000000000004">
      <c r="A2" t="s">
        <v>35</v>
      </c>
      <c r="B2" s="5" t="s">
        <v>36</v>
      </c>
    </row>
    <row r="3" spans="1:2" x14ac:dyDescent="0.55000000000000004">
      <c r="A3" t="s">
        <v>37</v>
      </c>
      <c r="B3" s="5" t="s">
        <v>38</v>
      </c>
    </row>
    <row r="4" spans="1:2" x14ac:dyDescent="0.55000000000000004">
      <c r="A4" t="s">
        <v>39</v>
      </c>
      <c r="B4" s="5" t="s">
        <v>40</v>
      </c>
    </row>
    <row r="5" spans="1:2" x14ac:dyDescent="0.55000000000000004">
      <c r="A5" t="s">
        <v>41</v>
      </c>
      <c r="B5" s="5" t="s">
        <v>42</v>
      </c>
    </row>
    <row r="6" spans="1:2" x14ac:dyDescent="0.55000000000000004">
      <c r="A6" t="s">
        <v>43</v>
      </c>
      <c r="B6" s="5" t="s">
        <v>44</v>
      </c>
    </row>
    <row r="7" spans="1:2" x14ac:dyDescent="0.55000000000000004">
      <c r="A7" t="s">
        <v>45</v>
      </c>
      <c r="B7" s="5" t="s">
        <v>46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zoomScale="150" zoomScaleNormal="150" workbookViewId="0">
      <selection activeCell="G14" sqref="G14"/>
    </sheetView>
  </sheetViews>
  <sheetFormatPr defaultColWidth="8.83984375" defaultRowHeight="14.4" x14ac:dyDescent="0.55000000000000004"/>
  <cols>
    <col min="1" max="1" width="41.83984375" bestFit="1" customWidth="1"/>
    <col min="2" max="2" width="78.83984375" bestFit="1" customWidth="1"/>
    <col min="3" max="3" width="15.41796875" bestFit="1" customWidth="1"/>
    <col min="4" max="5" width="10.68359375" bestFit="1" customWidth="1"/>
    <col min="6" max="6" width="16.41796875" bestFit="1" customWidth="1"/>
    <col min="7" max="7" width="13.41796875" bestFit="1" customWidth="1"/>
  </cols>
  <sheetData>
    <row r="1" spans="1:7" x14ac:dyDescent="0.55000000000000004">
      <c r="A1" s="4" t="s">
        <v>47</v>
      </c>
      <c r="B1" s="4" t="s">
        <v>48</v>
      </c>
      <c r="C1" s="4" t="s">
        <v>49</v>
      </c>
      <c r="D1" s="4" t="s">
        <v>50</v>
      </c>
      <c r="E1" s="4" t="s">
        <v>51</v>
      </c>
      <c r="F1" s="4" t="s">
        <v>52</v>
      </c>
      <c r="G1" s="4" t="s">
        <v>53</v>
      </c>
    </row>
    <row r="2" spans="1:7" x14ac:dyDescent="0.55000000000000004">
      <c r="A2" t="s">
        <v>54</v>
      </c>
      <c r="B2" t="s">
        <v>55</v>
      </c>
      <c r="C2" s="6">
        <v>13</v>
      </c>
      <c r="D2" s="26" t="s">
        <v>56</v>
      </c>
      <c r="E2" s="26" t="s">
        <v>57</v>
      </c>
      <c r="F2" s="24" t="s">
        <v>58</v>
      </c>
      <c r="G2" s="24" t="s">
        <v>58</v>
      </c>
    </row>
    <row r="3" spans="1:7" x14ac:dyDescent="0.55000000000000004">
      <c r="A3" s="25" t="s">
        <v>59</v>
      </c>
      <c r="B3" s="25" t="s">
        <v>60</v>
      </c>
      <c r="C3" s="6">
        <v>25</v>
      </c>
      <c r="D3" s="26" t="s">
        <v>61</v>
      </c>
      <c r="E3" s="26" t="s">
        <v>62</v>
      </c>
      <c r="F3" s="24" t="s">
        <v>58</v>
      </c>
      <c r="G3" s="24" t="s">
        <v>58</v>
      </c>
    </row>
    <row r="4" spans="1:7" x14ac:dyDescent="0.55000000000000004">
      <c r="A4" s="25" t="s">
        <v>63</v>
      </c>
      <c r="B4" s="25" t="s">
        <v>64</v>
      </c>
      <c r="C4">
        <v>29</v>
      </c>
      <c r="D4" s="26" t="s">
        <v>65</v>
      </c>
      <c r="E4" s="41" t="s">
        <v>66</v>
      </c>
      <c r="F4" t="s">
        <v>67</v>
      </c>
      <c r="G4" t="s">
        <v>67</v>
      </c>
    </row>
  </sheetData>
  <phoneticPr fontId="2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C9" sqref="C9"/>
    </sheetView>
  </sheetViews>
  <sheetFormatPr defaultColWidth="8.83984375" defaultRowHeight="14.4" x14ac:dyDescent="0.55000000000000004"/>
  <cols>
    <col min="1" max="1" width="15" customWidth="1"/>
    <col min="2" max="2" width="62.41796875" customWidth="1"/>
    <col min="3" max="3" width="50.41796875" customWidth="1"/>
  </cols>
  <sheetData>
    <row r="1" spans="1:3" x14ac:dyDescent="0.55000000000000004">
      <c r="A1" s="8" t="s">
        <v>68</v>
      </c>
      <c r="B1" s="8" t="s">
        <v>69</v>
      </c>
      <c r="C1" s="8" t="s">
        <v>70</v>
      </c>
    </row>
    <row r="2" spans="1:3" x14ac:dyDescent="0.55000000000000004">
      <c r="A2" s="13" t="s">
        <v>71</v>
      </c>
      <c r="B2" s="13" t="s">
        <v>72</v>
      </c>
      <c r="C2" s="13" t="s">
        <v>73</v>
      </c>
    </row>
    <row r="3" spans="1:3" ht="25.8" x14ac:dyDescent="0.55000000000000004">
      <c r="A3" s="13" t="s">
        <v>74</v>
      </c>
      <c r="B3" s="13" t="s">
        <v>75</v>
      </c>
      <c r="C3" s="13" t="s">
        <v>76</v>
      </c>
    </row>
    <row r="4" spans="1:3" ht="25.8" x14ac:dyDescent="0.55000000000000004">
      <c r="A4" s="13" t="s">
        <v>77</v>
      </c>
      <c r="B4" s="13" t="s">
        <v>78</v>
      </c>
      <c r="C4" s="13" t="s">
        <v>79</v>
      </c>
    </row>
    <row r="5" spans="1:3" ht="25.8" x14ac:dyDescent="0.55000000000000004">
      <c r="A5" s="13" t="s">
        <v>80</v>
      </c>
      <c r="B5" s="13" t="s">
        <v>81</v>
      </c>
      <c r="C5" s="13" t="s">
        <v>82</v>
      </c>
    </row>
    <row r="6" spans="1:3" ht="25.8" x14ac:dyDescent="0.55000000000000004">
      <c r="A6" s="13" t="s">
        <v>83</v>
      </c>
      <c r="B6" s="13" t="s">
        <v>84</v>
      </c>
      <c r="C6" s="13" t="s">
        <v>85</v>
      </c>
    </row>
    <row r="7" spans="1:3" x14ac:dyDescent="0.55000000000000004">
      <c r="A7" s="13" t="s">
        <v>86</v>
      </c>
      <c r="B7" s="13" t="s">
        <v>87</v>
      </c>
      <c r="C7" s="13" t="s">
        <v>88</v>
      </c>
    </row>
    <row r="8" spans="1:3" x14ac:dyDescent="0.55000000000000004">
      <c r="A8" s="13"/>
      <c r="B8" s="13"/>
      <c r="C8" s="13"/>
    </row>
    <row r="9" spans="1:3" x14ac:dyDescent="0.55000000000000004">
      <c r="A9" s="13"/>
      <c r="B9" s="13"/>
      <c r="C9" s="13"/>
    </row>
    <row r="10" spans="1:3" x14ac:dyDescent="0.55000000000000004">
      <c r="A10" s="13"/>
      <c r="B10" s="13"/>
      <c r="C10" s="13"/>
    </row>
    <row r="11" spans="1:3" x14ac:dyDescent="0.55000000000000004">
      <c r="A11" s="13"/>
      <c r="B11" s="13"/>
      <c r="C11" s="13"/>
    </row>
    <row r="12" spans="1:3" x14ac:dyDescent="0.55000000000000004">
      <c r="A12" s="13"/>
      <c r="B12" s="13"/>
      <c r="C12" s="13"/>
    </row>
    <row r="13" spans="1:3" x14ac:dyDescent="0.55000000000000004">
      <c r="A13" s="14"/>
      <c r="B13" s="14"/>
      <c r="C13" s="14"/>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zoomScale="85" zoomScaleNormal="85" workbookViewId="0">
      <selection activeCell="H4" sqref="H4"/>
    </sheetView>
  </sheetViews>
  <sheetFormatPr defaultColWidth="8.83984375" defaultRowHeight="14.4" x14ac:dyDescent="0.55000000000000004"/>
  <cols>
    <col min="1" max="1" width="6.578125" bestFit="1" customWidth="1"/>
    <col min="2" max="2" width="27.15625" bestFit="1" customWidth="1"/>
    <col min="3" max="4" width="14.15625" bestFit="1" customWidth="1"/>
    <col min="5" max="5" width="19.68359375" bestFit="1" customWidth="1"/>
    <col min="6" max="6" width="24" bestFit="1" customWidth="1"/>
    <col min="7" max="7" width="8" bestFit="1" customWidth="1"/>
    <col min="8" max="8" width="7.83984375" bestFit="1" customWidth="1"/>
    <col min="9" max="9" width="10.68359375" bestFit="1" customWidth="1"/>
    <col min="10" max="10" width="8.68359375" bestFit="1" customWidth="1"/>
    <col min="11" max="11" width="20.578125" bestFit="1" customWidth="1"/>
    <col min="12" max="12" width="20.578125" customWidth="1"/>
    <col min="13" max="14" width="23.68359375" bestFit="1" customWidth="1"/>
    <col min="15" max="15" width="18.15625" customWidth="1"/>
  </cols>
  <sheetData>
    <row r="1" spans="1:14" x14ac:dyDescent="0.55000000000000004">
      <c r="A1" s="4" t="s">
        <v>89</v>
      </c>
      <c r="B1" s="4" t="s">
        <v>90</v>
      </c>
      <c r="C1" s="4" t="s">
        <v>91</v>
      </c>
      <c r="D1" s="4" t="s">
        <v>92</v>
      </c>
      <c r="E1" s="4" t="s">
        <v>93</v>
      </c>
      <c r="F1" s="4" t="s">
        <v>94</v>
      </c>
      <c r="G1" s="4" t="s">
        <v>95</v>
      </c>
      <c r="H1" s="4" t="s">
        <v>96</v>
      </c>
      <c r="I1" s="4" t="s">
        <v>97</v>
      </c>
      <c r="J1" s="4" t="s">
        <v>98</v>
      </c>
      <c r="K1" s="4" t="s">
        <v>99</v>
      </c>
      <c r="L1" s="4" t="s">
        <v>100</v>
      </c>
      <c r="M1" s="4" t="s">
        <v>101</v>
      </c>
      <c r="N1" s="4" t="s">
        <v>102</v>
      </c>
    </row>
    <row r="2" spans="1:14" x14ac:dyDescent="0.55000000000000004">
      <c r="A2" s="5" t="s">
        <v>103</v>
      </c>
      <c r="B2" s="5" t="s">
        <v>104</v>
      </c>
      <c r="C2" s="63">
        <v>1</v>
      </c>
      <c r="D2" s="27">
        <v>1</v>
      </c>
      <c r="E2" s="5">
        <v>1</v>
      </c>
      <c r="F2" s="65" t="str">
        <f>IF(D2&gt;0, IF(D2-E2=0,"",D2-E2), IF(E2&gt;0,E2,""))</f>
        <v/>
      </c>
      <c r="G2" s="5"/>
      <c r="H2" s="5"/>
      <c r="I2" s="5"/>
      <c r="J2" s="5"/>
      <c r="K2" s="5"/>
      <c r="L2" s="65" t="str">
        <f t="shared" ref="L2:L10" si="0">IF(SUM(G2:K2)=0,"",SUM(G2:K2))</f>
        <v/>
      </c>
      <c r="M2" s="65" t="str">
        <f t="shared" ref="M2:M10" si="1">IF(C2=D2,"",IF(L2="", "", C2-(D2+L2)))</f>
        <v/>
      </c>
    </row>
    <row r="3" spans="1:14" x14ac:dyDescent="0.55000000000000004">
      <c r="A3" s="5" t="s">
        <v>103</v>
      </c>
      <c r="B3" s="5" t="s">
        <v>105</v>
      </c>
      <c r="C3" s="63">
        <v>1</v>
      </c>
      <c r="D3" s="27"/>
      <c r="E3" s="5"/>
      <c r="F3" s="65" t="str">
        <f>IF(D3&gt;0, IF(D3-E3=0,"",D3-E3), IF(E3&gt;0,E3,""))</f>
        <v/>
      </c>
      <c r="G3" s="5">
        <v>1</v>
      </c>
      <c r="H3" s="73" t="s">
        <v>106</v>
      </c>
      <c r="I3" s="5"/>
      <c r="J3" s="5"/>
      <c r="K3" s="5"/>
      <c r="L3" s="65">
        <f t="shared" si="0"/>
        <v>1</v>
      </c>
      <c r="M3" s="65">
        <f t="shared" si="1"/>
        <v>0</v>
      </c>
    </row>
    <row r="4" spans="1:14" x14ac:dyDescent="0.55000000000000004">
      <c r="A4" s="5" t="s">
        <v>103</v>
      </c>
      <c r="B4" s="5" t="s">
        <v>107</v>
      </c>
      <c r="C4" s="63">
        <v>4</v>
      </c>
      <c r="D4" s="27">
        <v>1</v>
      </c>
      <c r="E4" s="5">
        <v>1</v>
      </c>
      <c r="F4" s="65" t="str">
        <f t="shared" ref="F4:F10" si="2">IF(D4&gt;0, IF(D4-E4=0,"",D4-E4), IF(E4&gt;0,E4,""))</f>
        <v/>
      </c>
      <c r="G4" s="5">
        <v>1</v>
      </c>
      <c r="H4" s="5">
        <v>1</v>
      </c>
      <c r="I4" s="5"/>
      <c r="J4" s="71">
        <v>1</v>
      </c>
      <c r="K4" s="5"/>
      <c r="L4" s="65">
        <f t="shared" si="0"/>
        <v>3</v>
      </c>
      <c r="M4" s="65">
        <f>IF(C4=D4,"",IF(L4="", "", C4-(D4+L4)))</f>
        <v>0</v>
      </c>
    </row>
    <row r="5" spans="1:14" x14ac:dyDescent="0.55000000000000004">
      <c r="A5" s="5" t="s">
        <v>103</v>
      </c>
      <c r="B5" s="5" t="s">
        <v>108</v>
      </c>
      <c r="C5" s="63">
        <v>2</v>
      </c>
      <c r="D5" s="27">
        <v>1</v>
      </c>
      <c r="E5" s="5"/>
      <c r="F5" s="65">
        <f t="shared" si="2"/>
        <v>1</v>
      </c>
      <c r="G5" s="5">
        <v>1</v>
      </c>
      <c r="H5" s="5"/>
      <c r="I5" s="5"/>
      <c r="J5" s="5"/>
      <c r="K5" s="5"/>
      <c r="L5" s="65">
        <f t="shared" si="0"/>
        <v>1</v>
      </c>
      <c r="M5" s="65">
        <f t="shared" si="1"/>
        <v>0</v>
      </c>
    </row>
    <row r="6" spans="1:14" x14ac:dyDescent="0.55000000000000004">
      <c r="A6" s="5" t="s">
        <v>103</v>
      </c>
      <c r="B6" s="5" t="s">
        <v>109</v>
      </c>
      <c r="C6" s="63">
        <v>5</v>
      </c>
      <c r="D6" s="27">
        <v>1</v>
      </c>
      <c r="E6" s="5">
        <v>1</v>
      </c>
      <c r="F6" s="65" t="str">
        <f t="shared" si="2"/>
        <v/>
      </c>
      <c r="G6" s="5">
        <v>2</v>
      </c>
      <c r="H6" s="5">
        <v>2</v>
      </c>
      <c r="I6" s="5"/>
      <c r="J6" s="5"/>
      <c r="K6" s="5"/>
      <c r="L6" s="65">
        <f t="shared" si="0"/>
        <v>4</v>
      </c>
      <c r="M6" s="65">
        <f t="shared" si="1"/>
        <v>0</v>
      </c>
    </row>
    <row r="7" spans="1:14" x14ac:dyDescent="0.55000000000000004">
      <c r="A7" s="5" t="s">
        <v>103</v>
      </c>
      <c r="B7" s="5" t="s">
        <v>110</v>
      </c>
      <c r="C7" s="63">
        <v>9</v>
      </c>
      <c r="D7" s="27">
        <v>2</v>
      </c>
      <c r="E7" s="5">
        <v>2</v>
      </c>
      <c r="F7" s="65" t="str">
        <f t="shared" si="2"/>
        <v/>
      </c>
      <c r="G7" s="5">
        <v>3</v>
      </c>
      <c r="H7" s="5">
        <v>2</v>
      </c>
      <c r="I7" s="5">
        <v>2</v>
      </c>
      <c r="J7" s="5"/>
      <c r="K7" s="5"/>
      <c r="L7" s="65">
        <f>IF(SUM(G7:K7)=0,"",SUM(G7:K7))</f>
        <v>7</v>
      </c>
      <c r="M7" s="65">
        <f t="shared" si="1"/>
        <v>0</v>
      </c>
    </row>
    <row r="8" spans="1:14" x14ac:dyDescent="0.55000000000000004">
      <c r="A8" s="5" t="s">
        <v>103</v>
      </c>
      <c r="B8" s="5" t="s">
        <v>111</v>
      </c>
      <c r="C8" s="63">
        <v>0</v>
      </c>
      <c r="D8" s="27">
        <v>0</v>
      </c>
      <c r="E8" s="5"/>
      <c r="F8" s="65" t="str">
        <f t="shared" si="2"/>
        <v/>
      </c>
      <c r="G8" s="5"/>
      <c r="H8" s="5"/>
      <c r="I8" s="5"/>
      <c r="J8" s="5"/>
      <c r="K8" s="5"/>
      <c r="L8" s="65" t="str">
        <f t="shared" si="0"/>
        <v/>
      </c>
      <c r="M8" s="65" t="str">
        <f t="shared" si="1"/>
        <v/>
      </c>
    </row>
    <row r="9" spans="1:14" x14ac:dyDescent="0.55000000000000004">
      <c r="A9" s="5" t="s">
        <v>103</v>
      </c>
      <c r="B9" s="5" t="s">
        <v>112</v>
      </c>
      <c r="C9" s="63">
        <v>2</v>
      </c>
      <c r="D9" s="27">
        <v>2</v>
      </c>
      <c r="E9" s="5">
        <v>2</v>
      </c>
      <c r="F9" s="65" t="str">
        <f t="shared" si="2"/>
        <v/>
      </c>
      <c r="G9" s="5"/>
      <c r="H9" s="5"/>
      <c r="I9" s="5"/>
      <c r="J9" s="5"/>
      <c r="K9" s="5"/>
      <c r="L9" s="65" t="str">
        <f t="shared" si="0"/>
        <v/>
      </c>
      <c r="M9" s="65" t="str">
        <f t="shared" si="1"/>
        <v/>
      </c>
    </row>
    <row r="10" spans="1:14" x14ac:dyDescent="0.55000000000000004">
      <c r="A10" s="5" t="s">
        <v>103</v>
      </c>
      <c r="B10" s="5" t="s">
        <v>113</v>
      </c>
      <c r="C10" s="27">
        <v>1</v>
      </c>
      <c r="D10" s="27">
        <v>1</v>
      </c>
      <c r="E10" s="5">
        <v>1</v>
      </c>
      <c r="F10" s="65" t="str">
        <f t="shared" si="2"/>
        <v/>
      </c>
      <c r="G10" s="5"/>
      <c r="H10" s="5"/>
      <c r="I10" s="5"/>
      <c r="J10" s="5"/>
      <c r="K10" s="5"/>
      <c r="L10" s="65" t="str">
        <f t="shared" si="0"/>
        <v/>
      </c>
      <c r="M10" s="65" t="str">
        <f t="shared" si="1"/>
        <v/>
      </c>
      <c r="N10" s="1">
        <f>SUM(D2:D10)+SUM(L2:L10)</f>
        <v>25</v>
      </c>
    </row>
    <row r="11" spans="1:14" x14ac:dyDescent="0.55000000000000004">
      <c r="A11" s="5"/>
      <c r="B11" s="5" t="s">
        <v>114</v>
      </c>
      <c r="C11" s="64">
        <f>SUM(C2:C10)</f>
        <v>25</v>
      </c>
      <c r="D11" s="64">
        <f t="shared" ref="D11:M11" si="3">SUM(D2:D10)</f>
        <v>9</v>
      </c>
      <c r="E11" s="64">
        <f t="shared" si="3"/>
        <v>8</v>
      </c>
      <c r="F11" s="64">
        <f t="shared" si="3"/>
        <v>1</v>
      </c>
      <c r="G11" s="64">
        <f t="shared" si="3"/>
        <v>8</v>
      </c>
      <c r="H11" s="64">
        <f t="shared" si="3"/>
        <v>5</v>
      </c>
      <c r="I11" s="64">
        <f t="shared" si="3"/>
        <v>2</v>
      </c>
      <c r="J11" s="64">
        <f t="shared" si="3"/>
        <v>1</v>
      </c>
      <c r="K11" s="64">
        <f t="shared" si="3"/>
        <v>0</v>
      </c>
      <c r="L11" s="64">
        <f t="shared" si="3"/>
        <v>16</v>
      </c>
      <c r="M11" s="64">
        <f t="shared" si="3"/>
        <v>0</v>
      </c>
      <c r="N11" s="64"/>
    </row>
    <row r="12" spans="1:14" x14ac:dyDescent="0.55000000000000004">
      <c r="A12" s="5"/>
      <c r="B12" s="5"/>
      <c r="C12" s="5"/>
      <c r="D12" s="5"/>
      <c r="E12" s="5"/>
      <c r="F12" s="5"/>
      <c r="G12" s="5"/>
      <c r="H12" s="5"/>
      <c r="I12" s="5"/>
      <c r="J12" s="5"/>
      <c r="K12" s="5"/>
      <c r="L12" s="5"/>
      <c r="M12" s="5"/>
      <c r="N12" s="5"/>
    </row>
    <row r="13" spans="1:14" x14ac:dyDescent="0.55000000000000004">
      <c r="A13" s="5" t="s">
        <v>115</v>
      </c>
      <c r="B13" s="5" t="s">
        <v>104</v>
      </c>
      <c r="C13" s="63">
        <v>1</v>
      </c>
      <c r="D13" s="27">
        <v>1</v>
      </c>
      <c r="E13" s="5">
        <v>1</v>
      </c>
      <c r="F13" s="65" t="str">
        <f>IF(D13&gt;0, IF(D13-E13=0,"",D13-E13), IF(E13&gt;0,E13,""))</f>
        <v/>
      </c>
      <c r="G13" s="5"/>
      <c r="H13" s="5"/>
      <c r="I13" s="5"/>
      <c r="J13" s="5"/>
      <c r="K13" s="5"/>
      <c r="L13" s="65" t="str">
        <f t="shared" ref="L13:L17" si="4">IF(SUM(G13:K13)=0,"",SUM(G13:K13))</f>
        <v/>
      </c>
      <c r="M13" s="65" t="str">
        <f t="shared" ref="M13:M14" si="5">IF(C13=D13,"",IF(L13="", "", C13-(D13+L13)))</f>
        <v/>
      </c>
    </row>
    <row r="14" spans="1:14" x14ac:dyDescent="0.55000000000000004">
      <c r="A14" s="5" t="s">
        <v>115</v>
      </c>
      <c r="B14" s="5" t="s">
        <v>105</v>
      </c>
      <c r="C14" s="63">
        <v>1</v>
      </c>
      <c r="D14" s="27"/>
      <c r="E14" s="5"/>
      <c r="F14" s="65" t="str">
        <f>IF(D14&gt;0, IF(D14-E14=0,"",D14-E14), IF(E14&gt;0,E14,""))</f>
        <v/>
      </c>
      <c r="G14" s="5"/>
      <c r="H14" s="5"/>
      <c r="I14" s="5">
        <v>1</v>
      </c>
      <c r="J14" s="74" t="s">
        <v>116</v>
      </c>
      <c r="K14" s="5"/>
      <c r="L14" s="65">
        <f t="shared" si="4"/>
        <v>1</v>
      </c>
      <c r="M14" s="65">
        <f t="shared" si="5"/>
        <v>0</v>
      </c>
    </row>
    <row r="15" spans="1:14" x14ac:dyDescent="0.55000000000000004">
      <c r="A15" s="5" t="s">
        <v>115</v>
      </c>
      <c r="B15" s="5" t="s">
        <v>107</v>
      </c>
      <c r="C15" s="63">
        <v>4</v>
      </c>
      <c r="D15" s="27">
        <v>1</v>
      </c>
      <c r="E15" s="5"/>
      <c r="F15" s="65">
        <f t="shared" ref="F15:F20" si="6">IF(D15&gt;0, IF(D15-E15=0,"",D15-E15), IF(E15&gt;0,E15,""))</f>
        <v>1</v>
      </c>
      <c r="G15" s="5">
        <v>1</v>
      </c>
      <c r="H15" s="5"/>
      <c r="I15" s="5">
        <v>1</v>
      </c>
      <c r="J15" s="5">
        <v>1</v>
      </c>
      <c r="K15" s="5"/>
      <c r="L15" s="65">
        <f t="shared" si="4"/>
        <v>3</v>
      </c>
      <c r="M15" s="65">
        <f>IF(C15=D15,"",IF(L15="", "", C15-(D15+L15)))</f>
        <v>0</v>
      </c>
    </row>
    <row r="16" spans="1:14" x14ac:dyDescent="0.55000000000000004">
      <c r="A16" s="5" t="s">
        <v>115</v>
      </c>
      <c r="B16" s="5" t="s">
        <v>108</v>
      </c>
      <c r="C16" s="63">
        <v>3</v>
      </c>
      <c r="D16" s="27">
        <v>1</v>
      </c>
      <c r="E16" s="5">
        <v>1</v>
      </c>
      <c r="F16" s="65" t="str">
        <f t="shared" si="6"/>
        <v/>
      </c>
      <c r="G16" s="5"/>
      <c r="H16" s="5"/>
      <c r="I16" s="5">
        <v>1</v>
      </c>
      <c r="J16" s="5">
        <v>1</v>
      </c>
      <c r="K16" s="5"/>
      <c r="L16" s="65">
        <f t="shared" si="4"/>
        <v>2</v>
      </c>
      <c r="M16" s="65">
        <f t="shared" ref="M16:M21" si="7">IF(C16=D16,"",IF(L16="", "", C16-(D16+L16)))</f>
        <v>0</v>
      </c>
    </row>
    <row r="17" spans="1:14" x14ac:dyDescent="0.55000000000000004">
      <c r="A17" s="5" t="s">
        <v>115</v>
      </c>
      <c r="B17" s="5" t="s">
        <v>109</v>
      </c>
      <c r="C17" s="63">
        <v>5</v>
      </c>
      <c r="D17" s="27">
        <v>1</v>
      </c>
      <c r="E17" s="5">
        <v>1</v>
      </c>
      <c r="F17" s="65" t="str">
        <f t="shared" si="6"/>
        <v/>
      </c>
      <c r="G17" s="5">
        <v>1</v>
      </c>
      <c r="H17" s="5"/>
      <c r="I17" s="5"/>
      <c r="J17" s="71">
        <v>3</v>
      </c>
      <c r="K17" s="5"/>
      <c r="L17" s="65">
        <f t="shared" si="4"/>
        <v>4</v>
      </c>
      <c r="M17" s="65">
        <f t="shared" si="7"/>
        <v>0</v>
      </c>
    </row>
    <row r="18" spans="1:14" x14ac:dyDescent="0.55000000000000004">
      <c r="A18" s="5" t="s">
        <v>115</v>
      </c>
      <c r="B18" s="5" t="s">
        <v>110</v>
      </c>
      <c r="C18" s="63">
        <v>10</v>
      </c>
      <c r="D18" s="27">
        <v>2</v>
      </c>
      <c r="E18" s="5">
        <v>2</v>
      </c>
      <c r="F18" s="65" t="str">
        <f t="shared" si="6"/>
        <v/>
      </c>
      <c r="G18" s="5">
        <v>2</v>
      </c>
      <c r="H18" s="5">
        <v>1</v>
      </c>
      <c r="I18" s="5">
        <v>2</v>
      </c>
      <c r="J18" s="5">
        <v>3</v>
      </c>
      <c r="K18" s="5"/>
      <c r="L18" s="65">
        <f>IF(SUM(G18:K18)=0,"",SUM(G18:K18))</f>
        <v>8</v>
      </c>
      <c r="M18" s="65">
        <f t="shared" si="7"/>
        <v>0</v>
      </c>
    </row>
    <row r="19" spans="1:14" x14ac:dyDescent="0.55000000000000004">
      <c r="A19" s="5" t="s">
        <v>115</v>
      </c>
      <c r="B19" s="5" t="s">
        <v>111</v>
      </c>
      <c r="C19" s="63">
        <v>0</v>
      </c>
      <c r="D19" s="27">
        <v>0</v>
      </c>
      <c r="E19" s="5"/>
      <c r="F19" s="65" t="str">
        <f t="shared" si="6"/>
        <v/>
      </c>
      <c r="G19" s="5"/>
      <c r="H19" s="5"/>
      <c r="I19" s="5"/>
      <c r="J19" s="5"/>
      <c r="K19" s="5"/>
      <c r="L19" s="65" t="str">
        <f t="shared" ref="L19:L21" si="8">IF(SUM(G19:K19)=0,"",SUM(G19:K19))</f>
        <v/>
      </c>
      <c r="M19" s="65" t="str">
        <f t="shared" si="7"/>
        <v/>
      </c>
    </row>
    <row r="20" spans="1:14" x14ac:dyDescent="0.55000000000000004">
      <c r="A20" s="5" t="s">
        <v>115</v>
      </c>
      <c r="B20" s="5" t="s">
        <v>112</v>
      </c>
      <c r="C20" s="63">
        <v>2</v>
      </c>
      <c r="D20" s="27">
        <v>2</v>
      </c>
      <c r="E20" s="5">
        <v>2</v>
      </c>
      <c r="F20" s="65" t="str">
        <f t="shared" si="6"/>
        <v/>
      </c>
      <c r="G20" s="5"/>
      <c r="H20" s="5"/>
      <c r="I20" s="5"/>
      <c r="J20" s="5"/>
      <c r="K20" s="5"/>
      <c r="L20" s="65" t="str">
        <f t="shared" si="8"/>
        <v/>
      </c>
      <c r="M20" s="65" t="str">
        <f t="shared" si="7"/>
        <v/>
      </c>
    </row>
    <row r="21" spans="1:14" x14ac:dyDescent="0.55000000000000004">
      <c r="A21" s="5" t="s">
        <v>115</v>
      </c>
      <c r="B21" s="5" t="s">
        <v>113</v>
      </c>
      <c r="C21" s="27">
        <v>0</v>
      </c>
      <c r="D21" s="27"/>
      <c r="E21" s="5"/>
      <c r="F21" s="65"/>
      <c r="G21" s="5"/>
      <c r="H21" s="5"/>
      <c r="I21" s="5"/>
      <c r="J21" s="5"/>
      <c r="K21" s="5"/>
      <c r="L21" s="65" t="str">
        <f t="shared" si="8"/>
        <v/>
      </c>
      <c r="M21" s="65" t="str">
        <f t="shared" si="7"/>
        <v/>
      </c>
      <c r="N21" s="1">
        <f>SUM(D13:D21)+SUM(L13:L21)</f>
        <v>26</v>
      </c>
    </row>
    <row r="22" spans="1:14" x14ac:dyDescent="0.55000000000000004">
      <c r="B22" s="5" t="s">
        <v>117</v>
      </c>
      <c r="C22" s="64">
        <f>SUM(C13:C21)</f>
        <v>26</v>
      </c>
      <c r="D22" s="64">
        <f t="shared" ref="D22:M22" si="9">SUM(D13:D21)</f>
        <v>8</v>
      </c>
      <c r="E22" s="64">
        <f t="shared" si="9"/>
        <v>7</v>
      </c>
      <c r="F22" s="64">
        <f t="shared" si="9"/>
        <v>1</v>
      </c>
      <c r="G22" s="64">
        <f t="shared" si="9"/>
        <v>4</v>
      </c>
      <c r="H22" s="64">
        <f t="shared" si="9"/>
        <v>1</v>
      </c>
      <c r="I22" s="64">
        <f t="shared" si="9"/>
        <v>5</v>
      </c>
      <c r="J22" s="64">
        <f t="shared" si="9"/>
        <v>8</v>
      </c>
      <c r="K22" s="64">
        <f t="shared" si="9"/>
        <v>0</v>
      </c>
      <c r="L22" s="64">
        <f t="shared" si="9"/>
        <v>18</v>
      </c>
      <c r="M22" s="64">
        <f t="shared" si="9"/>
        <v>0</v>
      </c>
      <c r="N22" s="64"/>
    </row>
    <row r="24" spans="1:14" x14ac:dyDescent="0.55000000000000004">
      <c r="A24" s="5" t="s">
        <v>118</v>
      </c>
      <c r="B24" s="5" t="s">
        <v>104</v>
      </c>
      <c r="C24" s="63">
        <v>1</v>
      </c>
      <c r="D24" s="27">
        <v>1</v>
      </c>
      <c r="E24" s="5">
        <v>1</v>
      </c>
      <c r="F24" s="65" t="str">
        <f>IF(D24&gt;0, IF(D24-E24=0,"",D24-E24), IF(E24&gt;0,E24,""))</f>
        <v/>
      </c>
      <c r="G24" s="5"/>
      <c r="H24" s="5"/>
      <c r="I24" s="5"/>
      <c r="J24" s="5"/>
      <c r="K24" s="5"/>
      <c r="L24" s="65" t="str">
        <f t="shared" ref="L24:L28" si="10">IF(SUM(G24:K24)=0,"",SUM(G24:K24))</f>
        <v/>
      </c>
      <c r="M24" s="65" t="str">
        <f t="shared" ref="M24:M25" si="11">IF(C24=D24,"",IF(L24="", "", C24-(D24+L24)))</f>
        <v/>
      </c>
    </row>
    <row r="25" spans="1:14" x14ac:dyDescent="0.55000000000000004">
      <c r="A25" s="5" t="s">
        <v>118</v>
      </c>
      <c r="B25" s="5" t="s">
        <v>105</v>
      </c>
      <c r="C25" s="63">
        <v>1</v>
      </c>
      <c r="D25" s="27"/>
      <c r="E25" s="5"/>
      <c r="F25" s="65" t="str">
        <f>IF(D25&gt;0, IF(D25-E25=0,"",D25-E25), IF(E25&gt;0,E25,""))</f>
        <v/>
      </c>
      <c r="G25" s="5"/>
      <c r="H25" s="5"/>
      <c r="I25" s="5"/>
      <c r="J25" s="5">
        <v>1</v>
      </c>
      <c r="K25" s="5"/>
      <c r="L25" s="65">
        <f t="shared" si="10"/>
        <v>1</v>
      </c>
      <c r="M25" s="65">
        <f t="shared" si="11"/>
        <v>0</v>
      </c>
    </row>
    <row r="26" spans="1:14" x14ac:dyDescent="0.55000000000000004">
      <c r="A26" s="5" t="s">
        <v>118</v>
      </c>
      <c r="B26" s="5" t="s">
        <v>107</v>
      </c>
      <c r="C26" s="63">
        <v>5</v>
      </c>
      <c r="D26" s="27">
        <v>1</v>
      </c>
      <c r="E26" s="5">
        <v>1</v>
      </c>
      <c r="F26" s="65" t="str">
        <f t="shared" ref="F26:F32" si="12">IF(D26&gt;0, IF(D26-E26=0,"",D26-E26), IF(E26&gt;0,E26,""))</f>
        <v/>
      </c>
      <c r="G26" s="5">
        <v>1</v>
      </c>
      <c r="H26" s="5"/>
      <c r="I26" s="5">
        <v>1</v>
      </c>
      <c r="J26" s="5">
        <v>2</v>
      </c>
      <c r="K26" s="5"/>
      <c r="L26" s="65">
        <f t="shared" si="10"/>
        <v>4</v>
      </c>
      <c r="M26" s="65">
        <f>IF(C26=D26,"",IF(L26="", "", C26-(D26+L26)))</f>
        <v>0</v>
      </c>
    </row>
    <row r="27" spans="1:14" x14ac:dyDescent="0.55000000000000004">
      <c r="A27" s="5" t="s">
        <v>118</v>
      </c>
      <c r="B27" s="5" t="s">
        <v>108</v>
      </c>
      <c r="C27" s="63">
        <v>2</v>
      </c>
      <c r="D27" s="27">
        <v>1</v>
      </c>
      <c r="E27" s="5"/>
      <c r="F27" s="72">
        <f t="shared" si="12"/>
        <v>1</v>
      </c>
      <c r="G27" s="5"/>
      <c r="H27" s="5"/>
      <c r="I27" s="5">
        <v>1</v>
      </c>
      <c r="J27" s="5"/>
      <c r="K27" s="5"/>
      <c r="L27" s="65">
        <f t="shared" si="10"/>
        <v>1</v>
      </c>
      <c r="M27" s="65">
        <f t="shared" ref="M27:M32" si="13">IF(C27=D27,"",IF(L27="", "", C27-(D27+L27)))</f>
        <v>0</v>
      </c>
    </row>
    <row r="28" spans="1:14" x14ac:dyDescent="0.55000000000000004">
      <c r="A28" s="5" t="s">
        <v>118</v>
      </c>
      <c r="B28" s="5" t="s">
        <v>109</v>
      </c>
      <c r="C28" s="63">
        <v>5</v>
      </c>
      <c r="D28" s="27">
        <v>1</v>
      </c>
      <c r="E28" s="5">
        <v>1</v>
      </c>
      <c r="F28" s="65" t="str">
        <f t="shared" si="12"/>
        <v/>
      </c>
      <c r="G28" s="5"/>
      <c r="H28" s="5"/>
      <c r="I28" s="5">
        <v>1</v>
      </c>
      <c r="J28" s="71">
        <v>3</v>
      </c>
      <c r="K28" s="5"/>
      <c r="L28" s="65">
        <f t="shared" si="10"/>
        <v>4</v>
      </c>
      <c r="M28" s="65">
        <f t="shared" si="13"/>
        <v>0</v>
      </c>
    </row>
    <row r="29" spans="1:14" x14ac:dyDescent="0.55000000000000004">
      <c r="A29" s="5" t="s">
        <v>118</v>
      </c>
      <c r="B29" s="5" t="s">
        <v>110</v>
      </c>
      <c r="C29" s="63">
        <v>10</v>
      </c>
      <c r="D29" s="27">
        <v>2</v>
      </c>
      <c r="E29" s="5">
        <v>2</v>
      </c>
      <c r="F29" s="65" t="str">
        <f t="shared" si="12"/>
        <v/>
      </c>
      <c r="G29" s="5">
        <v>1</v>
      </c>
      <c r="H29" s="5">
        <v>1</v>
      </c>
      <c r="I29" s="5">
        <v>2</v>
      </c>
      <c r="J29" s="5">
        <v>4</v>
      </c>
      <c r="K29" s="5"/>
      <c r="L29" s="65">
        <f>IF(SUM(G29:K29)=0,"",SUM(G29:K29))</f>
        <v>8</v>
      </c>
      <c r="M29" s="65">
        <f t="shared" si="13"/>
        <v>0</v>
      </c>
    </row>
    <row r="30" spans="1:14" x14ac:dyDescent="0.55000000000000004">
      <c r="A30" s="5" t="s">
        <v>118</v>
      </c>
      <c r="B30" s="5" t="s">
        <v>111</v>
      </c>
      <c r="C30" s="63">
        <v>0</v>
      </c>
      <c r="D30" s="27">
        <v>0</v>
      </c>
      <c r="E30" s="5"/>
      <c r="F30" s="65" t="str">
        <f t="shared" si="12"/>
        <v/>
      </c>
      <c r="G30" s="5"/>
      <c r="H30" s="5"/>
      <c r="I30" s="5"/>
      <c r="J30" s="5"/>
      <c r="K30" s="5"/>
      <c r="L30" s="65" t="str">
        <f t="shared" ref="L30:L32" si="14">IF(SUM(G30:K30)=0,"",SUM(G30:K30))</f>
        <v/>
      </c>
      <c r="M30" s="65" t="str">
        <f t="shared" si="13"/>
        <v/>
      </c>
    </row>
    <row r="31" spans="1:14" x14ac:dyDescent="0.55000000000000004">
      <c r="A31" s="5" t="s">
        <v>118</v>
      </c>
      <c r="B31" s="5" t="s">
        <v>112</v>
      </c>
      <c r="C31" s="63">
        <v>2</v>
      </c>
      <c r="D31" s="27">
        <v>2</v>
      </c>
      <c r="E31" s="5">
        <v>2</v>
      </c>
      <c r="F31" s="65" t="str">
        <f t="shared" si="12"/>
        <v/>
      </c>
      <c r="G31" s="5"/>
      <c r="H31" s="5"/>
      <c r="I31" s="5"/>
      <c r="J31" s="5"/>
      <c r="K31" s="5"/>
      <c r="L31" s="65" t="str">
        <f t="shared" si="14"/>
        <v/>
      </c>
      <c r="M31" s="65" t="str">
        <f t="shared" si="13"/>
        <v/>
      </c>
    </row>
    <row r="32" spans="1:14" x14ac:dyDescent="0.55000000000000004">
      <c r="A32" s="5" t="s">
        <v>118</v>
      </c>
      <c r="B32" s="5" t="s">
        <v>113</v>
      </c>
      <c r="C32" s="27">
        <v>0</v>
      </c>
      <c r="D32" s="27"/>
      <c r="E32" s="5"/>
      <c r="F32" s="65" t="str">
        <f t="shared" si="12"/>
        <v/>
      </c>
      <c r="G32" s="5"/>
      <c r="H32" s="5"/>
      <c r="I32" s="5"/>
      <c r="J32" s="5"/>
      <c r="K32" s="5"/>
      <c r="L32" s="65" t="str">
        <f t="shared" si="14"/>
        <v/>
      </c>
      <c r="M32" s="65" t="str">
        <f t="shared" si="13"/>
        <v/>
      </c>
      <c r="N32" s="1">
        <f>SUM(D24:D32)+SUM(L24:L32)</f>
        <v>26</v>
      </c>
    </row>
    <row r="33" spans="2:14" x14ac:dyDescent="0.55000000000000004">
      <c r="B33" s="5" t="s">
        <v>119</v>
      </c>
      <c r="C33" s="64">
        <f>SUM(C24:C32)</f>
        <v>26</v>
      </c>
      <c r="D33" s="64">
        <f t="shared" ref="D33:M33" si="15">SUM(D24:D32)</f>
        <v>8</v>
      </c>
      <c r="E33" s="64">
        <f t="shared" si="15"/>
        <v>7</v>
      </c>
      <c r="F33" s="64">
        <f t="shared" si="15"/>
        <v>1</v>
      </c>
      <c r="G33" s="64">
        <f t="shared" si="15"/>
        <v>2</v>
      </c>
      <c r="H33" s="64">
        <f t="shared" si="15"/>
        <v>1</v>
      </c>
      <c r="I33" s="64">
        <f t="shared" si="15"/>
        <v>5</v>
      </c>
      <c r="J33" s="64">
        <f t="shared" si="15"/>
        <v>10</v>
      </c>
      <c r="K33" s="64">
        <f t="shared" si="15"/>
        <v>0</v>
      </c>
      <c r="L33" s="64">
        <f t="shared" si="15"/>
        <v>18</v>
      </c>
      <c r="M33" s="64">
        <f t="shared" si="15"/>
        <v>0</v>
      </c>
      <c r="N33" s="64"/>
    </row>
  </sheetData>
  <phoneticPr fontId="20"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6"/>
  <sheetViews>
    <sheetView tabSelected="1" zoomScale="110" zoomScaleNormal="110" workbookViewId="0">
      <selection activeCell="C20" sqref="C20"/>
    </sheetView>
  </sheetViews>
  <sheetFormatPr defaultColWidth="8.83984375" defaultRowHeight="14.4" x14ac:dyDescent="0.55000000000000004"/>
  <cols>
    <col min="1" max="1" width="10.83984375" bestFit="1" customWidth="1"/>
    <col min="2" max="2" width="28.68359375" bestFit="1" customWidth="1"/>
    <col min="3" max="3" width="36" style="22" customWidth="1"/>
    <col min="4" max="4" width="31.41796875" bestFit="1" customWidth="1"/>
    <col min="5" max="5" width="4.15625" bestFit="1" customWidth="1"/>
    <col min="6" max="6" width="12" bestFit="1" customWidth="1"/>
    <col min="7" max="7" width="14" bestFit="1" customWidth="1"/>
  </cols>
  <sheetData>
    <row r="1" spans="1:7" x14ac:dyDescent="0.55000000000000004">
      <c r="A1" s="5" t="s">
        <v>120</v>
      </c>
      <c r="B1" s="5" t="s">
        <v>121</v>
      </c>
      <c r="C1" s="21" t="s">
        <v>122</v>
      </c>
      <c r="D1" s="5" t="s">
        <v>123</v>
      </c>
      <c r="E1" s="5" t="s">
        <v>124</v>
      </c>
      <c r="F1" s="5" t="s">
        <v>125</v>
      </c>
      <c r="G1" s="5" t="s">
        <v>126</v>
      </c>
    </row>
    <row r="2" spans="1:7" x14ac:dyDescent="0.55000000000000004">
      <c r="A2" s="5" t="s">
        <v>103</v>
      </c>
      <c r="B2" s="5" t="s">
        <v>127</v>
      </c>
      <c r="C2" s="5" t="s">
        <v>104</v>
      </c>
      <c r="D2" s="9" t="s">
        <v>128</v>
      </c>
      <c r="E2" s="5" t="s">
        <v>129</v>
      </c>
      <c r="F2" s="5" t="s">
        <v>130</v>
      </c>
      <c r="G2" s="5" t="s">
        <v>131</v>
      </c>
    </row>
    <row r="3" spans="1:7" x14ac:dyDescent="0.55000000000000004">
      <c r="A3" s="5" t="s">
        <v>103</v>
      </c>
      <c r="B3" s="5" t="s">
        <v>132</v>
      </c>
      <c r="C3" s="5" t="s">
        <v>133</v>
      </c>
      <c r="D3" s="10" t="s">
        <v>134</v>
      </c>
      <c r="E3" s="5" t="s">
        <v>135</v>
      </c>
      <c r="F3" s="5" t="s">
        <v>130</v>
      </c>
      <c r="G3" s="5" t="s">
        <v>136</v>
      </c>
    </row>
    <row r="4" spans="1:7" x14ac:dyDescent="0.55000000000000004">
      <c r="A4" s="5" t="s">
        <v>103</v>
      </c>
      <c r="B4" s="5" t="s">
        <v>137</v>
      </c>
      <c r="C4" s="5" t="s">
        <v>133</v>
      </c>
      <c r="D4" s="10" t="s">
        <v>138</v>
      </c>
      <c r="E4" s="5" t="s">
        <v>129</v>
      </c>
      <c r="F4" s="5" t="s">
        <v>130</v>
      </c>
      <c r="G4" s="5" t="s">
        <v>136</v>
      </c>
    </row>
    <row r="5" spans="1:7" x14ac:dyDescent="0.55000000000000004">
      <c r="A5" s="5" t="s">
        <v>103</v>
      </c>
      <c r="B5" s="5" t="s">
        <v>139</v>
      </c>
      <c r="C5" s="5" t="s">
        <v>140</v>
      </c>
      <c r="D5" s="10" t="s">
        <v>141</v>
      </c>
      <c r="E5" s="5" t="s">
        <v>129</v>
      </c>
      <c r="F5" s="5" t="s">
        <v>130</v>
      </c>
      <c r="G5" s="5" t="s">
        <v>447</v>
      </c>
    </row>
    <row r="6" spans="1:7" x14ac:dyDescent="0.55000000000000004">
      <c r="A6" s="5" t="s">
        <v>103</v>
      </c>
      <c r="B6" s="5" t="s">
        <v>143</v>
      </c>
      <c r="C6" s="5" t="s">
        <v>144</v>
      </c>
      <c r="D6" s="10" t="s">
        <v>145</v>
      </c>
      <c r="E6" s="5" t="s">
        <v>135</v>
      </c>
      <c r="F6" s="5" t="s">
        <v>130</v>
      </c>
      <c r="G6" s="5" t="s">
        <v>136</v>
      </c>
    </row>
    <row r="7" spans="1:7" x14ac:dyDescent="0.55000000000000004">
      <c r="A7" s="5" t="s">
        <v>103</v>
      </c>
      <c r="B7" s="5" t="s">
        <v>146</v>
      </c>
      <c r="C7" s="5" t="s">
        <v>147</v>
      </c>
      <c r="D7" s="10" t="s">
        <v>148</v>
      </c>
      <c r="E7" s="5" t="s">
        <v>129</v>
      </c>
      <c r="F7" s="5" t="s">
        <v>130</v>
      </c>
      <c r="G7" s="5" t="s">
        <v>136</v>
      </c>
    </row>
    <row r="8" spans="1:7" x14ac:dyDescent="0.55000000000000004">
      <c r="A8" s="5" t="s">
        <v>103</v>
      </c>
      <c r="B8" s="5" t="s">
        <v>149</v>
      </c>
      <c r="C8" s="5" t="s">
        <v>150</v>
      </c>
      <c r="D8" s="10" t="s">
        <v>151</v>
      </c>
      <c r="E8" s="5" t="s">
        <v>129</v>
      </c>
      <c r="F8" s="5" t="s">
        <v>130</v>
      </c>
      <c r="G8" s="5" t="s">
        <v>136</v>
      </c>
    </row>
    <row r="9" spans="1:7" x14ac:dyDescent="0.55000000000000004">
      <c r="A9" s="5" t="s">
        <v>103</v>
      </c>
      <c r="B9" s="5" t="s">
        <v>439</v>
      </c>
      <c r="C9" s="22" t="s">
        <v>105</v>
      </c>
      <c r="D9" s="10"/>
      <c r="E9" s="5" t="s">
        <v>129</v>
      </c>
      <c r="F9" s="5"/>
      <c r="G9" s="5" t="s">
        <v>444</v>
      </c>
    </row>
    <row r="10" spans="1:7" x14ac:dyDescent="0.55000000000000004">
      <c r="A10" s="5" t="s">
        <v>103</v>
      </c>
      <c r="B10" s="5" t="s">
        <v>440</v>
      </c>
      <c r="C10" s="5" t="s">
        <v>445</v>
      </c>
      <c r="D10" s="58"/>
      <c r="E10" s="5" t="s">
        <v>129</v>
      </c>
      <c r="F10" s="5"/>
      <c r="G10" s="5" t="s">
        <v>444</v>
      </c>
    </row>
    <row r="11" spans="1:7" x14ac:dyDescent="0.55000000000000004">
      <c r="A11" s="5" t="s">
        <v>103</v>
      </c>
      <c r="B11" s="5" t="s">
        <v>441</v>
      </c>
      <c r="C11" s="5" t="s">
        <v>199</v>
      </c>
      <c r="D11" s="58"/>
      <c r="E11" s="5" t="s">
        <v>129</v>
      </c>
      <c r="F11" s="5"/>
      <c r="G11" s="5" t="s">
        <v>444</v>
      </c>
    </row>
    <row r="12" spans="1:7" x14ac:dyDescent="0.55000000000000004">
      <c r="A12" s="5" t="s">
        <v>103</v>
      </c>
      <c r="B12" s="5" t="s">
        <v>442</v>
      </c>
      <c r="C12" s="5" t="s">
        <v>199</v>
      </c>
      <c r="D12" s="19"/>
      <c r="E12" s="5" t="s">
        <v>129</v>
      </c>
      <c r="F12" s="5"/>
      <c r="G12" s="5" t="s">
        <v>444</v>
      </c>
    </row>
    <row r="13" spans="1:7" x14ac:dyDescent="0.55000000000000004">
      <c r="A13" s="5" t="s">
        <v>103</v>
      </c>
      <c r="B13" s="5" t="s">
        <v>439</v>
      </c>
      <c r="C13" s="5" t="s">
        <v>446</v>
      </c>
      <c r="D13" s="19"/>
      <c r="E13" s="5" t="s">
        <v>129</v>
      </c>
      <c r="F13" s="5"/>
      <c r="G13" s="5" t="s">
        <v>444</v>
      </c>
    </row>
    <row r="14" spans="1:7" ht="16.5" customHeight="1" x14ac:dyDescent="0.55000000000000004">
      <c r="A14" s="5" t="s">
        <v>103</v>
      </c>
      <c r="B14" s="5" t="s">
        <v>443</v>
      </c>
      <c r="C14" s="5" t="s">
        <v>446</v>
      </c>
      <c r="D14" s="19"/>
      <c r="E14" s="5" t="s">
        <v>129</v>
      </c>
      <c r="F14" s="5"/>
      <c r="G14" s="5" t="s">
        <v>444</v>
      </c>
    </row>
    <row r="15" spans="1:7" x14ac:dyDescent="0.55000000000000004">
      <c r="A15" s="5"/>
      <c r="B15" s="5"/>
      <c r="C15" s="5"/>
      <c r="D15" s="19"/>
      <c r="E15" s="5"/>
      <c r="F15" s="5"/>
      <c r="G15" s="5"/>
    </row>
    <row r="16" spans="1:7" x14ac:dyDescent="0.55000000000000004">
      <c r="A16" s="5"/>
      <c r="B16" s="5"/>
      <c r="C16" s="5"/>
      <c r="D16" s="19"/>
      <c r="E16" s="5"/>
      <c r="F16" s="5"/>
      <c r="G16" s="5"/>
    </row>
    <row r="17" spans="1:7" x14ac:dyDescent="0.55000000000000004">
      <c r="A17" s="5"/>
      <c r="B17" s="5"/>
      <c r="C17" s="5"/>
      <c r="D17" s="19"/>
      <c r="E17" s="5"/>
      <c r="F17" s="5"/>
      <c r="G17" s="5"/>
    </row>
    <row r="18" spans="1:7" x14ac:dyDescent="0.55000000000000004">
      <c r="A18" s="5" t="s">
        <v>115</v>
      </c>
      <c r="B18" s="5" t="s">
        <v>152</v>
      </c>
      <c r="C18" s="5" t="s">
        <v>104</v>
      </c>
      <c r="D18" s="9"/>
      <c r="E18" s="5"/>
      <c r="F18" s="5" t="s">
        <v>142</v>
      </c>
      <c r="G18" s="5" t="s">
        <v>142</v>
      </c>
    </row>
    <row r="19" spans="1:7" x14ac:dyDescent="0.55000000000000004">
      <c r="A19" s="5" t="s">
        <v>115</v>
      </c>
      <c r="B19" s="5" t="s">
        <v>153</v>
      </c>
      <c r="C19" s="5" t="s">
        <v>133</v>
      </c>
      <c r="D19" s="10"/>
      <c r="E19" s="5"/>
      <c r="F19" s="5" t="s">
        <v>130</v>
      </c>
      <c r="G19" s="5" t="s">
        <v>142</v>
      </c>
    </row>
    <row r="20" spans="1:7" x14ac:dyDescent="0.55000000000000004">
      <c r="A20" s="5" t="s">
        <v>115</v>
      </c>
      <c r="B20" s="5" t="s">
        <v>154</v>
      </c>
      <c r="C20" s="5" t="s">
        <v>133</v>
      </c>
      <c r="D20" s="10"/>
      <c r="E20" s="5"/>
      <c r="F20" s="5" t="s">
        <v>130</v>
      </c>
      <c r="G20" s="5" t="s">
        <v>136</v>
      </c>
    </row>
    <row r="21" spans="1:7" x14ac:dyDescent="0.55000000000000004">
      <c r="A21" s="5" t="s">
        <v>115</v>
      </c>
      <c r="B21" s="5" t="s">
        <v>155</v>
      </c>
      <c r="C21" s="5" t="s">
        <v>140</v>
      </c>
      <c r="D21" s="10"/>
      <c r="E21" s="5"/>
      <c r="F21" s="5" t="s">
        <v>130</v>
      </c>
      <c r="G21" s="5" t="s">
        <v>136</v>
      </c>
    </row>
    <row r="22" spans="1:7" x14ac:dyDescent="0.55000000000000004">
      <c r="A22" s="5" t="s">
        <v>115</v>
      </c>
      <c r="B22" s="5" t="s">
        <v>142</v>
      </c>
      <c r="C22" s="5" t="s">
        <v>144</v>
      </c>
      <c r="D22" s="10"/>
      <c r="E22" s="5"/>
      <c r="F22" s="5" t="s">
        <v>130</v>
      </c>
      <c r="G22" s="5" t="s">
        <v>136</v>
      </c>
    </row>
    <row r="23" spans="1:7" ht="15.75" customHeight="1" x14ac:dyDescent="0.55000000000000004">
      <c r="A23" s="5" t="s">
        <v>115</v>
      </c>
      <c r="B23" s="5" t="s">
        <v>156</v>
      </c>
      <c r="C23" s="5" t="s">
        <v>147</v>
      </c>
      <c r="D23" s="10"/>
      <c r="E23" s="5"/>
      <c r="F23" s="5" t="s">
        <v>130</v>
      </c>
      <c r="G23" s="5" t="s">
        <v>136</v>
      </c>
    </row>
    <row r="24" spans="1:7" ht="15.75" customHeight="1" x14ac:dyDescent="0.55000000000000004">
      <c r="A24" s="5" t="s">
        <v>115</v>
      </c>
      <c r="B24" s="5" t="s">
        <v>157</v>
      </c>
      <c r="C24" s="5" t="s">
        <v>150</v>
      </c>
      <c r="D24" s="10"/>
      <c r="E24" s="5"/>
      <c r="F24" s="5" t="s">
        <v>130</v>
      </c>
      <c r="G24" s="5" t="s">
        <v>136</v>
      </c>
    </row>
    <row r="25" spans="1:7" x14ac:dyDescent="0.55000000000000004">
      <c r="A25" s="12"/>
      <c r="B25" s="12"/>
      <c r="C25" s="20"/>
      <c r="D25" s="11"/>
      <c r="E25" s="5"/>
      <c r="F25" s="11"/>
      <c r="G25" s="5"/>
    </row>
    <row r="26" spans="1:7" x14ac:dyDescent="0.55000000000000004">
      <c r="A26" s="12"/>
      <c r="B26" s="12"/>
      <c r="C26" s="20"/>
      <c r="D26" s="11"/>
      <c r="E26" s="5"/>
      <c r="F26" s="5"/>
      <c r="G26" s="5"/>
    </row>
    <row r="30" spans="1:7" x14ac:dyDescent="0.55000000000000004">
      <c r="A30" s="5" t="s">
        <v>118</v>
      </c>
      <c r="B30" s="5" t="s">
        <v>158</v>
      </c>
      <c r="C30" s="5" t="s">
        <v>104</v>
      </c>
      <c r="D30" s="9"/>
      <c r="E30" s="5"/>
      <c r="F30" s="5" t="s">
        <v>130</v>
      </c>
      <c r="G30" s="5" t="s">
        <v>136</v>
      </c>
    </row>
    <row r="31" spans="1:7" x14ac:dyDescent="0.55000000000000004">
      <c r="A31" s="5" t="s">
        <v>118</v>
      </c>
      <c r="B31" s="5" t="s">
        <v>159</v>
      </c>
      <c r="C31" s="5" t="s">
        <v>133</v>
      </c>
      <c r="D31" s="10"/>
      <c r="E31" s="5"/>
      <c r="F31" s="5" t="s">
        <v>130</v>
      </c>
      <c r="G31" s="5" t="s">
        <v>136</v>
      </c>
    </row>
    <row r="32" spans="1:7" x14ac:dyDescent="0.55000000000000004">
      <c r="A32" s="5" t="s">
        <v>118</v>
      </c>
      <c r="B32" s="5" t="s">
        <v>160</v>
      </c>
      <c r="C32" s="5" t="s">
        <v>133</v>
      </c>
      <c r="D32" s="10"/>
      <c r="E32" s="5"/>
      <c r="F32" s="5" t="s">
        <v>130</v>
      </c>
      <c r="G32" s="5" t="s">
        <v>136</v>
      </c>
    </row>
    <row r="33" spans="1:7" x14ac:dyDescent="0.55000000000000004">
      <c r="A33" s="5" t="s">
        <v>118</v>
      </c>
      <c r="B33" s="5" t="s">
        <v>161</v>
      </c>
      <c r="C33" s="5" t="s">
        <v>140</v>
      </c>
      <c r="D33" s="10"/>
      <c r="E33" s="5"/>
      <c r="F33" s="5" t="s">
        <v>130</v>
      </c>
      <c r="G33" s="5" t="s">
        <v>136</v>
      </c>
    </row>
    <row r="34" spans="1:7" x14ac:dyDescent="0.55000000000000004">
      <c r="A34" s="5" t="s">
        <v>118</v>
      </c>
      <c r="B34" s="5" t="s">
        <v>162</v>
      </c>
      <c r="C34" s="5" t="s">
        <v>144</v>
      </c>
      <c r="D34" s="10"/>
      <c r="E34" s="5"/>
      <c r="F34" s="5" t="s">
        <v>130</v>
      </c>
      <c r="G34" s="5" t="s">
        <v>136</v>
      </c>
    </row>
    <row r="35" spans="1:7" x14ac:dyDescent="0.55000000000000004">
      <c r="A35" s="5" t="s">
        <v>118</v>
      </c>
      <c r="B35" s="5" t="s">
        <v>163</v>
      </c>
      <c r="C35" s="5" t="s">
        <v>147</v>
      </c>
      <c r="D35" s="10"/>
      <c r="E35" s="5"/>
      <c r="F35" s="5" t="s">
        <v>130</v>
      </c>
      <c r="G35" s="5" t="s">
        <v>136</v>
      </c>
    </row>
    <row r="36" spans="1:7" x14ac:dyDescent="0.55000000000000004">
      <c r="A36" s="5" t="s">
        <v>118</v>
      </c>
      <c r="B36" s="5" t="s">
        <v>164</v>
      </c>
      <c r="C36" s="5" t="s">
        <v>150</v>
      </c>
      <c r="D36" s="10"/>
      <c r="E36" s="5"/>
      <c r="F36" s="5" t="s">
        <v>130</v>
      </c>
      <c r="G36" s="5" t="s">
        <v>136</v>
      </c>
    </row>
  </sheetData>
  <phoneticPr fontId="20"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3984375" defaultRowHeight="14.4" x14ac:dyDescent="0.55000000000000004"/>
  <cols>
    <col min="1" max="1" width="26" bestFit="1" customWidth="1"/>
    <col min="2" max="2" width="62.26171875" customWidth="1"/>
    <col min="3" max="3" width="48" bestFit="1" customWidth="1"/>
    <col min="4" max="4" width="65.26171875" bestFit="1" customWidth="1"/>
    <col min="5" max="5" width="22.15625" bestFit="1" customWidth="1"/>
  </cols>
  <sheetData>
    <row r="1" spans="1:5" x14ac:dyDescent="0.55000000000000004">
      <c r="A1" s="1" t="s">
        <v>165</v>
      </c>
      <c r="B1" s="1" t="s">
        <v>166</v>
      </c>
      <c r="C1" s="1" t="s">
        <v>167</v>
      </c>
      <c r="D1" s="61" t="s">
        <v>168</v>
      </c>
      <c r="E1" s="1" t="s">
        <v>169</v>
      </c>
    </row>
    <row r="2" spans="1:5" x14ac:dyDescent="0.55000000000000004">
      <c r="A2" s="18">
        <v>3587</v>
      </c>
      <c r="B2" s="60" t="s">
        <v>170</v>
      </c>
      <c r="C2" s="60" t="s">
        <v>171</v>
      </c>
      <c r="D2" s="18" t="s">
        <v>172</v>
      </c>
      <c r="E2" s="18" t="s">
        <v>173</v>
      </c>
    </row>
    <row r="3" spans="1:5" x14ac:dyDescent="0.55000000000000004">
      <c r="A3" s="18">
        <v>3588</v>
      </c>
      <c r="B3" s="60" t="s">
        <v>174</v>
      </c>
      <c r="C3" s="60" t="s">
        <v>175</v>
      </c>
      <c r="D3" s="18" t="s">
        <v>172</v>
      </c>
      <c r="E3" s="18" t="s">
        <v>173</v>
      </c>
    </row>
    <row r="4" spans="1:5" x14ac:dyDescent="0.55000000000000004">
      <c r="A4" s="18">
        <v>3596</v>
      </c>
      <c r="B4" s="60" t="s">
        <v>176</v>
      </c>
      <c r="C4" s="60" t="s">
        <v>176</v>
      </c>
      <c r="D4" s="18" t="s">
        <v>172</v>
      </c>
      <c r="E4" s="18" t="s">
        <v>173</v>
      </c>
    </row>
    <row r="5" spans="1:5" x14ac:dyDescent="0.55000000000000004">
      <c r="A5" s="18">
        <v>3597</v>
      </c>
      <c r="B5" s="60" t="s">
        <v>177</v>
      </c>
      <c r="C5" s="60" t="s">
        <v>178</v>
      </c>
      <c r="D5" s="18" t="s">
        <v>172</v>
      </c>
      <c r="E5" s="18" t="s">
        <v>173</v>
      </c>
    </row>
    <row r="6" spans="1:5" x14ac:dyDescent="0.55000000000000004">
      <c r="A6" s="18">
        <v>3598</v>
      </c>
      <c r="B6" s="60" t="s">
        <v>179</v>
      </c>
      <c r="C6" s="60" t="s">
        <v>180</v>
      </c>
      <c r="D6" s="18" t="s">
        <v>181</v>
      </c>
      <c r="E6" s="18" t="s">
        <v>173</v>
      </c>
    </row>
    <row r="7" spans="1:5" x14ac:dyDescent="0.55000000000000004">
      <c r="A7" s="18">
        <v>3599</v>
      </c>
      <c r="B7" s="60" t="s">
        <v>182</v>
      </c>
      <c r="C7" s="60" t="s">
        <v>183</v>
      </c>
      <c r="D7" s="18" t="s">
        <v>181</v>
      </c>
      <c r="E7" s="18" t="s">
        <v>173</v>
      </c>
    </row>
    <row r="8" spans="1:5" x14ac:dyDescent="0.55000000000000004">
      <c r="A8" s="18">
        <v>3031</v>
      </c>
      <c r="B8" s="60" t="s">
        <v>184</v>
      </c>
      <c r="C8" s="60" t="s">
        <v>185</v>
      </c>
      <c r="D8" s="18" t="s">
        <v>172</v>
      </c>
      <c r="E8" s="18" t="s">
        <v>173</v>
      </c>
    </row>
    <row r="9" spans="1:5" x14ac:dyDescent="0.55000000000000004">
      <c r="A9" s="18">
        <v>3032</v>
      </c>
      <c r="B9" s="60" t="s">
        <v>186</v>
      </c>
      <c r="C9" s="60" t="s">
        <v>187</v>
      </c>
      <c r="D9" s="18" t="s">
        <v>172</v>
      </c>
      <c r="E9" s="18" t="s">
        <v>173</v>
      </c>
    </row>
    <row r="10" spans="1:5" x14ac:dyDescent="0.55000000000000004">
      <c r="A10" s="18">
        <v>3033</v>
      </c>
      <c r="B10" s="60" t="s">
        <v>188</v>
      </c>
      <c r="C10" s="60" t="s">
        <v>189</v>
      </c>
      <c r="D10" s="18" t="s">
        <v>172</v>
      </c>
      <c r="E10" s="18" t="s">
        <v>173</v>
      </c>
    </row>
    <row r="11" spans="1:5" x14ac:dyDescent="0.55000000000000004">
      <c r="A11" s="18">
        <v>3034</v>
      </c>
      <c r="B11" s="60" t="s">
        <v>190</v>
      </c>
      <c r="C11" s="60" t="s">
        <v>191</v>
      </c>
      <c r="D11" s="18" t="s">
        <v>172</v>
      </c>
      <c r="E11" s="18" t="s">
        <v>173</v>
      </c>
    </row>
    <row r="12" spans="1:5" x14ac:dyDescent="0.55000000000000004">
      <c r="A12" s="18">
        <v>3548</v>
      </c>
      <c r="B12" s="60" t="s">
        <v>192</v>
      </c>
      <c r="C12" s="60" t="s">
        <v>193</v>
      </c>
      <c r="D12" s="18" t="s">
        <v>172</v>
      </c>
      <c r="E12" s="18" t="s">
        <v>173</v>
      </c>
    </row>
    <row r="13" spans="1:5" x14ac:dyDescent="0.55000000000000004">
      <c r="A13" s="18">
        <v>3549</v>
      </c>
      <c r="B13" s="60" t="s">
        <v>194</v>
      </c>
      <c r="C13" s="60" t="s">
        <v>193</v>
      </c>
      <c r="D13" s="18" t="s">
        <v>172</v>
      </c>
      <c r="E13" s="18" t="s">
        <v>173</v>
      </c>
    </row>
    <row r="14" spans="1:5" x14ac:dyDescent="0.55000000000000004">
      <c r="A14" s="18">
        <v>3136</v>
      </c>
      <c r="B14" s="60" t="s">
        <v>195</v>
      </c>
      <c r="C14" s="60" t="s">
        <v>196</v>
      </c>
      <c r="D14" s="18" t="s">
        <v>172</v>
      </c>
      <c r="E14" s="18" t="s">
        <v>173</v>
      </c>
    </row>
    <row r="15" spans="1:5" x14ac:dyDescent="0.55000000000000004">
      <c r="A15" s="18">
        <v>2105</v>
      </c>
      <c r="B15" s="60" t="s">
        <v>197</v>
      </c>
      <c r="C15" s="60" t="s">
        <v>198</v>
      </c>
      <c r="D15" s="18" t="s">
        <v>199</v>
      </c>
      <c r="E15" s="18" t="s">
        <v>173</v>
      </c>
    </row>
    <row r="16" spans="1:5" x14ac:dyDescent="0.55000000000000004">
      <c r="A16" s="18">
        <v>2121</v>
      </c>
      <c r="B16" s="60" t="s">
        <v>200</v>
      </c>
      <c r="C16" s="60" t="s">
        <v>200</v>
      </c>
      <c r="D16" s="18" t="s">
        <v>199</v>
      </c>
      <c r="E16" s="18" t="s">
        <v>173</v>
      </c>
    </row>
    <row r="17" spans="1:5" x14ac:dyDescent="0.55000000000000004">
      <c r="A17" s="18">
        <v>2133</v>
      </c>
      <c r="B17" s="60" t="s">
        <v>201</v>
      </c>
      <c r="C17" s="60" t="s">
        <v>201</v>
      </c>
      <c r="D17" s="18" t="s">
        <v>199</v>
      </c>
      <c r="E17" s="18" t="s">
        <v>173</v>
      </c>
    </row>
    <row r="18" spans="1:5" x14ac:dyDescent="0.55000000000000004">
      <c r="A18" s="18">
        <v>2152</v>
      </c>
      <c r="B18" s="60" t="s">
        <v>202</v>
      </c>
      <c r="C18" s="60" t="s">
        <v>202</v>
      </c>
      <c r="D18" s="18" t="s">
        <v>199</v>
      </c>
      <c r="E18" s="18" t="s">
        <v>173</v>
      </c>
    </row>
    <row r="19" spans="1:5" x14ac:dyDescent="0.55000000000000004">
      <c r="A19" s="18">
        <v>2154</v>
      </c>
      <c r="B19" s="60" t="s">
        <v>203</v>
      </c>
      <c r="C19" s="60" t="s">
        <v>203</v>
      </c>
      <c r="D19" s="18" t="s">
        <v>199</v>
      </c>
      <c r="E19" s="18" t="s">
        <v>173</v>
      </c>
    </row>
    <row r="20" spans="1:5" x14ac:dyDescent="0.55000000000000004">
      <c r="A20" s="18">
        <v>2314</v>
      </c>
      <c r="B20" s="60" t="s">
        <v>204</v>
      </c>
      <c r="C20" s="60" t="s">
        <v>204</v>
      </c>
      <c r="D20" s="18" t="s">
        <v>199</v>
      </c>
      <c r="E20" s="18" t="s">
        <v>173</v>
      </c>
    </row>
    <row r="21" spans="1:5" x14ac:dyDescent="0.55000000000000004">
      <c r="A21" s="18">
        <v>2375</v>
      </c>
      <c r="B21" s="60" t="s">
        <v>205</v>
      </c>
      <c r="C21" s="60" t="s">
        <v>205</v>
      </c>
      <c r="D21" s="18" t="s">
        <v>206</v>
      </c>
      <c r="E21" s="18" t="s">
        <v>173</v>
      </c>
    </row>
    <row r="22" spans="1:5" x14ac:dyDescent="0.55000000000000004">
      <c r="A22" s="18">
        <v>2410</v>
      </c>
      <c r="B22" s="60" t="s">
        <v>207</v>
      </c>
      <c r="C22" s="60" t="s">
        <v>208</v>
      </c>
      <c r="D22" s="18" t="s">
        <v>209</v>
      </c>
      <c r="E22" s="18" t="s">
        <v>173</v>
      </c>
    </row>
    <row r="23" spans="1:5" x14ac:dyDescent="0.55000000000000004">
      <c r="A23" s="18">
        <v>2502</v>
      </c>
      <c r="B23" s="60" t="s">
        <v>210</v>
      </c>
      <c r="C23" s="60" t="s">
        <v>211</v>
      </c>
      <c r="D23" s="18" t="s">
        <v>212</v>
      </c>
      <c r="E23" s="18" t="s">
        <v>173</v>
      </c>
    </row>
    <row r="24" spans="1:5" x14ac:dyDescent="0.55000000000000004">
      <c r="A24" s="18">
        <v>7114</v>
      </c>
      <c r="B24" s="60" t="s">
        <v>213</v>
      </c>
      <c r="C24" s="60" t="s">
        <v>213</v>
      </c>
      <c r="D24" s="18" t="s">
        <v>214</v>
      </c>
      <c r="E24" s="18" t="s">
        <v>173</v>
      </c>
    </row>
    <row r="25" spans="1:5" x14ac:dyDescent="0.55000000000000004">
      <c r="A25" s="18">
        <v>2251</v>
      </c>
      <c r="B25" s="60" t="s">
        <v>215</v>
      </c>
      <c r="C25" s="60"/>
      <c r="D25" s="18" t="s">
        <v>216</v>
      </c>
      <c r="E25" s="66" t="s">
        <v>217</v>
      </c>
    </row>
    <row r="26" spans="1:5" x14ac:dyDescent="0.55000000000000004">
      <c r="A26" s="18" t="s">
        <v>218</v>
      </c>
      <c r="B26" s="60" t="s">
        <v>219</v>
      </c>
      <c r="C26" s="60"/>
      <c r="D26" s="18" t="s">
        <v>220</v>
      </c>
      <c r="E26" s="18" t="s">
        <v>221</v>
      </c>
    </row>
    <row r="27" spans="1:5" x14ac:dyDescent="0.55000000000000004">
      <c r="A27" s="18" t="s">
        <v>218</v>
      </c>
      <c r="B27" s="60" t="s">
        <v>222</v>
      </c>
      <c r="C27" s="60"/>
      <c r="D27" s="18" t="s">
        <v>108</v>
      </c>
      <c r="E27" s="18" t="s">
        <v>221</v>
      </c>
    </row>
    <row r="28" spans="1:5" x14ac:dyDescent="0.55000000000000004">
      <c r="A28" s="18" t="s">
        <v>218</v>
      </c>
      <c r="B28" s="60" t="s">
        <v>223</v>
      </c>
      <c r="C28" s="60"/>
      <c r="D28" s="18" t="s">
        <v>108</v>
      </c>
      <c r="E28" s="18" t="s">
        <v>221</v>
      </c>
    </row>
    <row r="29" spans="1:5" x14ac:dyDescent="0.55000000000000004">
      <c r="A29" s="18" t="s">
        <v>218</v>
      </c>
      <c r="B29" s="60" t="s">
        <v>224</v>
      </c>
      <c r="C29" s="60"/>
      <c r="D29" s="18" t="s">
        <v>225</v>
      </c>
      <c r="E29" s="18" t="s">
        <v>221</v>
      </c>
    </row>
    <row r="30" spans="1:5" x14ac:dyDescent="0.55000000000000004">
      <c r="A30" s="18" t="s">
        <v>218</v>
      </c>
      <c r="B30" s="60" t="s">
        <v>226</v>
      </c>
      <c r="C30" s="60"/>
      <c r="D30" s="18" t="s">
        <v>227</v>
      </c>
      <c r="E30" s="18" t="s">
        <v>221</v>
      </c>
    </row>
    <row r="31" spans="1:5" x14ac:dyDescent="0.55000000000000004">
      <c r="A31" s="18" t="s">
        <v>218</v>
      </c>
      <c r="B31" s="60" t="s">
        <v>228</v>
      </c>
      <c r="C31" s="60"/>
      <c r="D31" s="18" t="s">
        <v>229</v>
      </c>
      <c r="E31" s="18" t="s">
        <v>221</v>
      </c>
    </row>
    <row r="32" spans="1:5" x14ac:dyDescent="0.55000000000000004">
      <c r="A32" s="18"/>
      <c r="B32" s="60"/>
      <c r="C32" s="60"/>
      <c r="D32" s="18" t="s">
        <v>230</v>
      </c>
      <c r="E32" s="18" t="s">
        <v>231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3984375" defaultRowHeight="14.4" x14ac:dyDescent="0.55000000000000004"/>
  <cols>
    <col min="1" max="1" width="21.15625" bestFit="1" customWidth="1"/>
    <col min="2" max="2" width="26.68359375" bestFit="1" customWidth="1"/>
    <col min="3" max="3" width="15.15625" bestFit="1" customWidth="1"/>
    <col min="4" max="4" width="25" bestFit="1" customWidth="1"/>
    <col min="5" max="5" width="12.83984375" bestFit="1" customWidth="1"/>
    <col min="6" max="6" width="19.41796875" bestFit="1" customWidth="1"/>
    <col min="7" max="7" width="26.15625" bestFit="1" customWidth="1"/>
    <col min="8" max="8" width="31.83984375" bestFit="1" customWidth="1"/>
  </cols>
  <sheetData>
    <row r="1" spans="1:8" x14ac:dyDescent="0.55000000000000004">
      <c r="A1" s="1" t="s">
        <v>232</v>
      </c>
      <c r="B1" s="1" t="s">
        <v>233</v>
      </c>
      <c r="C1" s="1" t="s">
        <v>234</v>
      </c>
      <c r="D1" s="1" t="s">
        <v>235</v>
      </c>
      <c r="E1" s="1" t="s">
        <v>236</v>
      </c>
      <c r="F1" s="1" t="s">
        <v>237</v>
      </c>
      <c r="G1" s="1" t="s">
        <v>238</v>
      </c>
      <c r="H1" s="1" t="s">
        <v>239</v>
      </c>
    </row>
    <row r="2" spans="1:8" x14ac:dyDescent="0.55000000000000004">
      <c r="A2" s="5" t="s">
        <v>240</v>
      </c>
      <c r="B2" s="5" t="s">
        <v>241</v>
      </c>
      <c r="C2" s="54" t="s">
        <v>242</v>
      </c>
      <c r="D2" s="54"/>
      <c r="E2" s="54"/>
      <c r="F2" s="54"/>
      <c r="G2" s="54"/>
      <c r="H2" s="54"/>
    </row>
    <row r="3" spans="1:8" x14ac:dyDescent="0.55000000000000004">
      <c r="A3" s="5" t="s">
        <v>240</v>
      </c>
      <c r="B3" s="5" t="s">
        <v>243</v>
      </c>
      <c r="C3" s="54"/>
      <c r="D3" s="54"/>
      <c r="E3" s="54"/>
      <c r="F3" s="54" t="s">
        <v>242</v>
      </c>
      <c r="G3" s="54"/>
      <c r="H3" s="54"/>
    </row>
    <row r="4" spans="1:8" x14ac:dyDescent="0.55000000000000004">
      <c r="A4" s="5" t="s">
        <v>240</v>
      </c>
      <c r="B4" s="5" t="s">
        <v>244</v>
      </c>
      <c r="C4" s="54"/>
      <c r="D4" s="54"/>
      <c r="E4" s="54"/>
      <c r="F4" s="54" t="s">
        <v>242</v>
      </c>
      <c r="G4" s="54"/>
      <c r="H4" s="54"/>
    </row>
    <row r="5" spans="1:8" x14ac:dyDescent="0.55000000000000004">
      <c r="A5" s="5" t="s">
        <v>240</v>
      </c>
      <c r="B5" s="5" t="s">
        <v>245</v>
      </c>
      <c r="C5" s="54"/>
      <c r="D5" s="54"/>
      <c r="E5" s="54"/>
      <c r="F5" s="54" t="s">
        <v>242</v>
      </c>
      <c r="G5" s="54"/>
      <c r="H5" s="54"/>
    </row>
    <row r="6" spans="1:8" x14ac:dyDescent="0.55000000000000004">
      <c r="A6" s="5" t="s">
        <v>240</v>
      </c>
      <c r="B6" s="5" t="s">
        <v>246</v>
      </c>
      <c r="C6" s="54" t="s">
        <v>242</v>
      </c>
      <c r="D6" s="54"/>
      <c r="E6" s="54"/>
      <c r="F6" s="5"/>
      <c r="G6" s="54"/>
      <c r="H6" s="54"/>
    </row>
    <row r="7" spans="1:8" x14ac:dyDescent="0.55000000000000004">
      <c r="A7" s="5" t="s">
        <v>240</v>
      </c>
      <c r="B7" s="5" t="s">
        <v>247</v>
      </c>
      <c r="C7" s="54"/>
      <c r="D7" s="54"/>
      <c r="E7" s="54"/>
      <c r="F7" s="54" t="s">
        <v>242</v>
      </c>
      <c r="G7" s="54"/>
      <c r="H7" s="54"/>
    </row>
    <row r="8" spans="1:8" x14ac:dyDescent="0.55000000000000004">
      <c r="A8" s="5" t="s">
        <v>240</v>
      </c>
      <c r="B8" s="5" t="s">
        <v>248</v>
      </c>
      <c r="C8" s="54"/>
      <c r="D8" s="54"/>
      <c r="E8" s="54"/>
      <c r="F8" s="54" t="s">
        <v>242</v>
      </c>
      <c r="G8" s="54"/>
      <c r="H8" s="54"/>
    </row>
    <row r="9" spans="1:8" x14ac:dyDescent="0.55000000000000004">
      <c r="A9" s="5" t="s">
        <v>240</v>
      </c>
      <c r="B9" s="5" t="s">
        <v>249</v>
      </c>
      <c r="C9" s="54"/>
      <c r="D9" s="54"/>
      <c r="E9" s="54"/>
      <c r="F9" s="59" t="s">
        <v>242</v>
      </c>
      <c r="G9" s="54"/>
      <c r="H9" s="54"/>
    </row>
    <row r="10" spans="1:8" x14ac:dyDescent="0.55000000000000004">
      <c r="A10" s="5" t="s">
        <v>240</v>
      </c>
      <c r="B10" s="5" t="s">
        <v>250</v>
      </c>
      <c r="C10" s="54"/>
      <c r="D10" s="54"/>
      <c r="E10" s="5"/>
      <c r="F10" s="59" t="s">
        <v>242</v>
      </c>
      <c r="G10" s="54"/>
      <c r="H10" s="54"/>
    </row>
    <row r="11" spans="1:8" x14ac:dyDescent="0.55000000000000004">
      <c r="A11" s="5" t="s">
        <v>251</v>
      </c>
      <c r="B11" s="5" t="s">
        <v>252</v>
      </c>
      <c r="C11" s="54"/>
      <c r="D11" s="54"/>
      <c r="E11" s="54"/>
      <c r="F11" s="54" t="s">
        <v>242</v>
      </c>
      <c r="G11" s="54"/>
      <c r="H11" s="54"/>
    </row>
    <row r="12" spans="1:8" x14ac:dyDescent="0.55000000000000004">
      <c r="A12" s="5" t="s">
        <v>251</v>
      </c>
      <c r="B12" s="5" t="s">
        <v>253</v>
      </c>
      <c r="C12" s="54"/>
      <c r="D12" s="54"/>
      <c r="E12" s="54" t="s">
        <v>242</v>
      </c>
      <c r="F12" s="54"/>
      <c r="G12" s="54"/>
      <c r="H12" s="54"/>
    </row>
    <row r="13" spans="1:8" x14ac:dyDescent="0.55000000000000004">
      <c r="A13" s="5" t="s">
        <v>251</v>
      </c>
      <c r="B13" s="5" t="s">
        <v>254</v>
      </c>
      <c r="C13" s="54"/>
      <c r="D13" s="54"/>
      <c r="E13" s="54" t="s">
        <v>242</v>
      </c>
      <c r="F13" s="54"/>
      <c r="G13" s="54"/>
      <c r="H13" s="54"/>
    </row>
    <row r="14" spans="1:8" x14ac:dyDescent="0.55000000000000004">
      <c r="A14" s="5" t="s">
        <v>251</v>
      </c>
      <c r="B14" s="5" t="s">
        <v>255</v>
      </c>
      <c r="C14" s="54"/>
      <c r="D14" s="54"/>
      <c r="E14" s="54" t="s">
        <v>242</v>
      </c>
      <c r="F14" s="54"/>
      <c r="G14" s="54"/>
      <c r="H14" s="54"/>
    </row>
    <row r="15" spans="1:8" x14ac:dyDescent="0.55000000000000004">
      <c r="A15" s="5" t="s">
        <v>251</v>
      </c>
      <c r="B15" s="5" t="s">
        <v>256</v>
      </c>
      <c r="C15" s="54"/>
      <c r="D15" s="54"/>
      <c r="E15" s="54"/>
      <c r="F15" s="54" t="s">
        <v>242</v>
      </c>
      <c r="G15" s="54"/>
      <c r="H15" s="54"/>
    </row>
    <row r="16" spans="1:8" x14ac:dyDescent="0.55000000000000004">
      <c r="A16" s="5" t="s">
        <v>251</v>
      </c>
      <c r="B16" s="5" t="s">
        <v>222</v>
      </c>
      <c r="C16" s="54"/>
      <c r="D16" s="54"/>
      <c r="E16" s="54" t="s">
        <v>242</v>
      </c>
      <c r="F16" s="54"/>
      <c r="G16" s="54"/>
      <c r="H16" s="54"/>
    </row>
    <row r="17" spans="1:8" x14ac:dyDescent="0.55000000000000004">
      <c r="A17" s="5" t="s">
        <v>251</v>
      </c>
      <c r="B17" s="5" t="s">
        <v>257</v>
      </c>
      <c r="C17" s="54"/>
      <c r="D17" s="54"/>
      <c r="E17" s="54"/>
      <c r="F17" s="54" t="s">
        <v>242</v>
      </c>
      <c r="G17" s="54"/>
      <c r="H17" s="54"/>
    </row>
    <row r="18" spans="1:8" x14ac:dyDescent="0.55000000000000004">
      <c r="A18" s="5" t="s">
        <v>251</v>
      </c>
      <c r="B18" s="5" t="s">
        <v>258</v>
      </c>
      <c r="C18" s="5"/>
      <c r="D18" s="54"/>
      <c r="E18" s="54"/>
      <c r="F18" s="54" t="s">
        <v>242</v>
      </c>
      <c r="G18" s="54"/>
      <c r="H18" s="54"/>
    </row>
    <row r="19" spans="1:8" x14ac:dyDescent="0.55000000000000004">
      <c r="A19" s="5" t="s">
        <v>251</v>
      </c>
      <c r="B19" s="5" t="s">
        <v>259</v>
      </c>
      <c r="C19" s="5"/>
      <c r="D19" s="54"/>
      <c r="E19" s="54"/>
      <c r="F19" s="54" t="s">
        <v>242</v>
      </c>
      <c r="G19" s="54"/>
      <c r="H19" s="54"/>
    </row>
    <row r="20" spans="1:8" x14ac:dyDescent="0.55000000000000004">
      <c r="A20" s="5" t="s">
        <v>251</v>
      </c>
      <c r="B20" s="5" t="s">
        <v>260</v>
      </c>
      <c r="C20" s="5"/>
      <c r="D20" s="54"/>
      <c r="E20" s="54"/>
      <c r="F20" s="54" t="s">
        <v>242</v>
      </c>
      <c r="G20" s="54"/>
      <c r="H20" s="54"/>
    </row>
    <row r="21" spans="1:8" x14ac:dyDescent="0.55000000000000004">
      <c r="A21" s="5" t="s">
        <v>251</v>
      </c>
      <c r="B21" s="5" t="s">
        <v>261</v>
      </c>
      <c r="C21" s="5"/>
      <c r="D21" s="54"/>
      <c r="E21" s="54"/>
      <c r="F21" s="54" t="s">
        <v>242</v>
      </c>
      <c r="G21" s="54"/>
      <c r="H21" s="54"/>
    </row>
    <row r="22" spans="1:8" x14ac:dyDescent="0.55000000000000004">
      <c r="A22" s="5" t="s">
        <v>262</v>
      </c>
      <c r="B22" s="5" t="s">
        <v>263</v>
      </c>
      <c r="C22" s="54" t="s">
        <v>242</v>
      </c>
      <c r="D22" s="54"/>
      <c r="E22" s="54"/>
      <c r="F22" s="54"/>
      <c r="G22" s="54"/>
      <c r="H22" s="54"/>
    </row>
    <row r="23" spans="1:8" x14ac:dyDescent="0.55000000000000004">
      <c r="A23" s="5" t="s">
        <v>262</v>
      </c>
      <c r="B23" s="5" t="s">
        <v>264</v>
      </c>
      <c r="C23" s="54"/>
      <c r="D23" s="54"/>
      <c r="E23" s="54"/>
      <c r="F23" s="54" t="s">
        <v>242</v>
      </c>
      <c r="G23" s="54"/>
      <c r="H23" s="54"/>
    </row>
    <row r="24" spans="1:8" x14ac:dyDescent="0.55000000000000004">
      <c r="A24" s="5" t="s">
        <v>262</v>
      </c>
      <c r="B24" s="5" t="s">
        <v>265</v>
      </c>
      <c r="C24" s="54"/>
      <c r="D24" s="5"/>
      <c r="E24" s="54"/>
      <c r="F24" s="54" t="s">
        <v>242</v>
      </c>
      <c r="G24" s="54"/>
      <c r="H24" s="54"/>
    </row>
    <row r="25" spans="1:8" x14ac:dyDescent="0.55000000000000004">
      <c r="A25" s="5" t="s">
        <v>266</v>
      </c>
      <c r="B25" s="5" t="s">
        <v>267</v>
      </c>
      <c r="C25" s="54"/>
      <c r="D25" s="54"/>
      <c r="E25" s="54"/>
      <c r="F25" s="54" t="s">
        <v>242</v>
      </c>
      <c r="G25" s="54"/>
      <c r="H25" s="54"/>
    </row>
    <row r="26" spans="1:8" x14ac:dyDescent="0.55000000000000004">
      <c r="A26" s="5" t="s">
        <v>268</v>
      </c>
      <c r="B26" s="5" t="s">
        <v>269</v>
      </c>
      <c r="C26" s="54"/>
      <c r="D26" s="54"/>
      <c r="E26" s="54"/>
      <c r="F26" s="54" t="s">
        <v>242</v>
      </c>
      <c r="G26" s="54"/>
      <c r="H26" s="54"/>
    </row>
    <row r="27" spans="1:8" x14ac:dyDescent="0.55000000000000004">
      <c r="A27" s="5" t="s">
        <v>268</v>
      </c>
      <c r="B27" s="5" t="s">
        <v>270</v>
      </c>
      <c r="C27" s="54"/>
      <c r="D27" s="54"/>
      <c r="E27" s="54"/>
      <c r="F27" s="54" t="s">
        <v>242</v>
      </c>
      <c r="G27" s="54"/>
      <c r="H27" s="54"/>
    </row>
    <row r="28" spans="1:8" x14ac:dyDescent="0.55000000000000004">
      <c r="A28" s="5" t="s">
        <v>268</v>
      </c>
      <c r="B28" s="5" t="s">
        <v>271</v>
      </c>
      <c r="D28" s="54"/>
      <c r="E28" s="54" t="s">
        <v>242</v>
      </c>
      <c r="F28" s="5"/>
      <c r="G28" s="54"/>
      <c r="H28" s="54"/>
    </row>
    <row r="29" spans="1:8" x14ac:dyDescent="0.55000000000000004">
      <c r="A29" s="5" t="s">
        <v>268</v>
      </c>
      <c r="B29" s="5" t="s">
        <v>272</v>
      </c>
      <c r="C29" s="54" t="s">
        <v>242</v>
      </c>
      <c r="D29" s="54"/>
      <c r="E29" s="54"/>
      <c r="F29" s="54"/>
      <c r="G29" s="54"/>
      <c r="H29" s="54"/>
    </row>
    <row r="30" spans="1:8" x14ac:dyDescent="0.55000000000000004">
      <c r="A30" s="5" t="s">
        <v>268</v>
      </c>
      <c r="B30" s="5" t="s">
        <v>273</v>
      </c>
      <c r="C30" s="5"/>
      <c r="D30" s="5"/>
      <c r="E30" s="5" t="s">
        <v>242</v>
      </c>
      <c r="F30" s="5"/>
      <c r="G30" s="5"/>
      <c r="H30"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6"/>
  <sheetViews>
    <sheetView zoomScale="140" zoomScaleNormal="140" workbookViewId="0">
      <selection activeCell="F10" sqref="F10"/>
    </sheetView>
  </sheetViews>
  <sheetFormatPr defaultColWidth="8.83984375" defaultRowHeight="14.4" x14ac:dyDescent="0.55000000000000004"/>
  <cols>
    <col min="1" max="1" width="26.15625" customWidth="1"/>
    <col min="9" max="9" width="12" customWidth="1"/>
    <col min="10" max="10" width="11.15625" customWidth="1"/>
  </cols>
  <sheetData>
    <row r="1" spans="1:14" ht="42" customHeight="1" thickBot="1" x14ac:dyDescent="0.6">
      <c r="A1" s="28" t="s">
        <v>274</v>
      </c>
      <c r="B1" s="29" t="s">
        <v>275</v>
      </c>
      <c r="C1" s="29" t="s">
        <v>276</v>
      </c>
      <c r="D1" s="29" t="s">
        <v>277</v>
      </c>
      <c r="E1" s="29" t="s">
        <v>278</v>
      </c>
      <c r="F1" s="29" t="s">
        <v>279</v>
      </c>
      <c r="G1" s="29" t="s">
        <v>280</v>
      </c>
      <c r="H1" s="29" t="s">
        <v>281</v>
      </c>
      <c r="I1" s="29" t="s">
        <v>282</v>
      </c>
      <c r="J1" s="29" t="s">
        <v>267</v>
      </c>
      <c r="K1" s="29" t="s">
        <v>283</v>
      </c>
      <c r="L1" s="29" t="s">
        <v>284</v>
      </c>
      <c r="M1" s="30" t="s">
        <v>285</v>
      </c>
      <c r="N1" s="15" t="s">
        <v>286</v>
      </c>
    </row>
    <row r="2" spans="1:14" ht="23.25" customHeight="1" x14ac:dyDescent="0.55000000000000004">
      <c r="A2" s="31" t="s">
        <v>287</v>
      </c>
      <c r="B2" s="32" t="s">
        <v>288</v>
      </c>
      <c r="C2" s="32" t="s">
        <v>288</v>
      </c>
      <c r="D2" s="32" t="s">
        <v>288</v>
      </c>
      <c r="E2" s="32" t="s">
        <v>288</v>
      </c>
      <c r="F2" s="15"/>
      <c r="G2" s="33" t="s">
        <v>289</v>
      </c>
      <c r="H2" s="15"/>
      <c r="J2" s="15"/>
      <c r="K2" s="33" t="s">
        <v>289</v>
      </c>
      <c r="M2" s="34"/>
    </row>
    <row r="3" spans="1:14" x14ac:dyDescent="0.55000000000000004">
      <c r="A3" s="31" t="s">
        <v>290</v>
      </c>
      <c r="B3" s="32"/>
      <c r="C3" s="32"/>
      <c r="D3" s="32"/>
      <c r="E3" s="32"/>
      <c r="F3" s="15"/>
      <c r="G3" s="33"/>
      <c r="H3" s="15"/>
      <c r="J3" s="33"/>
      <c r="K3" s="33"/>
      <c r="M3" s="34"/>
    </row>
    <row r="4" spans="1:14" x14ac:dyDescent="0.55000000000000004">
      <c r="A4" s="31" t="s">
        <v>291</v>
      </c>
      <c r="B4" s="32"/>
      <c r="C4" s="32"/>
      <c r="D4" s="16"/>
      <c r="E4" s="15"/>
      <c r="F4" s="15"/>
      <c r="G4" s="15"/>
      <c r="H4" s="15"/>
      <c r="J4" s="15"/>
      <c r="K4" s="15"/>
      <c r="L4" s="33"/>
      <c r="M4" s="34"/>
    </row>
    <row r="5" spans="1:14" x14ac:dyDescent="0.55000000000000004">
      <c r="A5" s="31" t="s">
        <v>292</v>
      </c>
      <c r="B5" s="32"/>
      <c r="C5" s="32"/>
      <c r="D5" s="16"/>
      <c r="E5" s="15"/>
      <c r="F5" s="15"/>
      <c r="G5" s="15"/>
      <c r="H5" s="15"/>
      <c r="J5" s="15"/>
      <c r="K5" s="15"/>
      <c r="L5" s="33"/>
      <c r="M5" s="34"/>
    </row>
    <row r="6" spans="1:14" ht="34.5" customHeight="1" x14ac:dyDescent="0.55000000000000004">
      <c r="A6" s="31" t="s">
        <v>293</v>
      </c>
      <c r="B6" s="32"/>
      <c r="C6" s="32"/>
      <c r="D6" s="32"/>
      <c r="E6" s="32"/>
      <c r="F6" s="15"/>
      <c r="G6" s="33"/>
      <c r="H6" s="33"/>
      <c r="J6" s="15"/>
      <c r="K6" s="33"/>
      <c r="M6" s="34"/>
    </row>
    <row r="7" spans="1:14" x14ac:dyDescent="0.55000000000000004">
      <c r="A7" s="31" t="s">
        <v>294</v>
      </c>
      <c r="B7" s="32"/>
      <c r="C7" s="32"/>
      <c r="D7" s="16"/>
      <c r="E7" s="15"/>
      <c r="F7" s="15"/>
      <c r="G7" s="15"/>
      <c r="H7" s="15"/>
      <c r="I7" s="33"/>
      <c r="J7" s="15"/>
      <c r="M7" s="34"/>
    </row>
    <row r="8" spans="1:14" ht="34.5" customHeight="1" x14ac:dyDescent="0.55000000000000004">
      <c r="A8" s="31" t="s">
        <v>295</v>
      </c>
      <c r="B8" s="32"/>
      <c r="C8" s="32"/>
      <c r="D8" s="16"/>
      <c r="E8" s="15"/>
      <c r="F8" s="15"/>
      <c r="G8" s="15"/>
      <c r="H8" s="15"/>
      <c r="I8" s="35"/>
      <c r="J8" s="15"/>
      <c r="L8" s="33"/>
      <c r="M8" s="34"/>
    </row>
    <row r="9" spans="1:14" ht="34.5" customHeight="1" x14ac:dyDescent="0.55000000000000004">
      <c r="A9" s="31" t="s">
        <v>296</v>
      </c>
      <c r="B9" s="32"/>
      <c r="C9" s="32"/>
      <c r="D9" s="32"/>
      <c r="E9" s="15"/>
      <c r="F9" s="15"/>
      <c r="G9" s="33"/>
      <c r="H9" s="33"/>
      <c r="I9" s="15"/>
      <c r="J9" s="15"/>
      <c r="M9" s="33"/>
    </row>
    <row r="10" spans="1:14" ht="34.5" customHeight="1" x14ac:dyDescent="0.55000000000000004">
      <c r="A10" s="31" t="s">
        <v>297</v>
      </c>
      <c r="B10" s="32"/>
      <c r="C10" s="32"/>
      <c r="D10" s="32"/>
      <c r="E10" s="15"/>
      <c r="F10" s="15"/>
      <c r="G10" s="33"/>
      <c r="H10" s="33"/>
      <c r="I10" s="15"/>
      <c r="J10" s="15"/>
      <c r="M10" s="33"/>
    </row>
    <row r="11" spans="1:14" ht="34.5" customHeight="1" x14ac:dyDescent="0.55000000000000004">
      <c r="A11" s="31" t="s">
        <v>298</v>
      </c>
      <c r="B11" s="32"/>
      <c r="C11" s="32"/>
      <c r="D11" s="32"/>
      <c r="E11" s="15"/>
      <c r="F11" s="15"/>
      <c r="G11" s="33"/>
      <c r="H11" s="33"/>
      <c r="I11" s="15"/>
      <c r="J11" s="15"/>
      <c r="M11" s="33"/>
    </row>
    <row r="12" spans="1:14" x14ac:dyDescent="0.55000000000000004">
      <c r="A12" s="31" t="s">
        <v>299</v>
      </c>
      <c r="B12" s="32"/>
      <c r="C12" s="32"/>
      <c r="D12" s="16"/>
      <c r="E12" s="15"/>
      <c r="F12" s="15"/>
      <c r="G12" s="15"/>
      <c r="H12" s="15"/>
      <c r="I12" s="15"/>
      <c r="J12" s="15"/>
      <c r="L12" s="33"/>
      <c r="M12" s="34"/>
    </row>
    <row r="13" spans="1:14" x14ac:dyDescent="0.55000000000000004">
      <c r="A13" s="31"/>
      <c r="B13" s="32"/>
      <c r="C13" s="32"/>
      <c r="D13" s="16"/>
      <c r="E13" s="15"/>
      <c r="F13" s="15"/>
      <c r="G13" s="15"/>
      <c r="H13" s="15"/>
      <c r="I13" s="15"/>
      <c r="J13" s="15"/>
      <c r="M13" s="33"/>
    </row>
    <row r="14" spans="1:14" x14ac:dyDescent="0.55000000000000004">
      <c r="A14" s="36" t="s">
        <v>300</v>
      </c>
      <c r="B14" s="32" t="s">
        <v>288</v>
      </c>
      <c r="C14" s="37"/>
      <c r="D14" s="37"/>
      <c r="E14" s="37"/>
      <c r="F14" s="37"/>
      <c r="G14" s="37"/>
      <c r="H14" s="37"/>
      <c r="I14" s="37"/>
      <c r="J14" s="37"/>
      <c r="K14" s="38"/>
      <c r="L14" s="38"/>
      <c r="M14" s="39"/>
    </row>
    <row r="15" spans="1:14" x14ac:dyDescent="0.55000000000000004">
      <c r="A15" s="32" t="s">
        <v>301</v>
      </c>
      <c r="B15" s="46" t="s">
        <v>302</v>
      </c>
      <c r="C15" s="46"/>
      <c r="D15" s="46"/>
      <c r="E15" s="46"/>
      <c r="F15" s="46"/>
      <c r="G15" s="46"/>
      <c r="H15" s="46"/>
      <c r="I15" s="46"/>
      <c r="J15" s="46"/>
      <c r="K15" s="46"/>
      <c r="L15" s="46"/>
      <c r="M15" s="46"/>
    </row>
    <row r="16" spans="1:14" x14ac:dyDescent="0.55000000000000004">
      <c r="A16" s="33" t="s">
        <v>303</v>
      </c>
      <c r="B16" s="46" t="s">
        <v>304</v>
      </c>
      <c r="C16" s="46"/>
      <c r="D16" s="46"/>
      <c r="E16" s="46"/>
      <c r="F16" s="46"/>
      <c r="G16" s="46"/>
      <c r="H16" s="46"/>
      <c r="I16" s="46"/>
      <c r="J16" s="46"/>
      <c r="K16" s="46"/>
      <c r="L16" s="46"/>
      <c r="M16" s="46"/>
    </row>
    <row r="17" spans="1:8" x14ac:dyDescent="0.55000000000000004">
      <c r="A17" s="17"/>
      <c r="B17" s="16"/>
      <c r="C17" s="16"/>
      <c r="D17" s="18"/>
      <c r="E17" s="18"/>
      <c r="F17" s="18"/>
      <c r="G17" s="18"/>
      <c r="H17" s="18"/>
    </row>
    <row r="18" spans="1:8" x14ac:dyDescent="0.55000000000000004">
      <c r="A18" s="17"/>
      <c r="B18" s="16"/>
      <c r="C18" s="16"/>
      <c r="D18" s="18"/>
      <c r="E18" s="18"/>
      <c r="F18" s="18"/>
      <c r="G18" s="18"/>
      <c r="H18" s="18"/>
    </row>
    <row r="19" spans="1:8" x14ac:dyDescent="0.55000000000000004">
      <c r="A19" s="17"/>
      <c r="B19" s="16"/>
      <c r="C19" s="16"/>
      <c r="D19" s="18"/>
      <c r="E19" s="18"/>
      <c r="F19" s="18"/>
      <c r="G19" s="18"/>
      <c r="H19" s="18"/>
    </row>
    <row r="20" spans="1:8" x14ac:dyDescent="0.55000000000000004">
      <c r="A20" s="17"/>
      <c r="B20" s="16"/>
      <c r="C20" s="16"/>
      <c r="D20" s="18"/>
      <c r="E20" s="18"/>
      <c r="F20" s="18"/>
      <c r="G20" s="18"/>
      <c r="H20" s="18"/>
    </row>
    <row r="21" spans="1:8" x14ac:dyDescent="0.55000000000000004">
      <c r="A21" s="17"/>
      <c r="B21" s="16"/>
      <c r="C21" s="16"/>
      <c r="D21" s="18"/>
      <c r="E21" s="18"/>
      <c r="F21" s="18"/>
      <c r="G21" s="18"/>
      <c r="H21" s="18"/>
    </row>
    <row r="22" spans="1:8" x14ac:dyDescent="0.55000000000000004">
      <c r="A22" s="17"/>
      <c r="B22" s="16"/>
      <c r="C22" s="16"/>
      <c r="D22" s="18"/>
      <c r="E22" s="18"/>
      <c r="F22" s="18"/>
      <c r="G22" s="18"/>
      <c r="H22" s="18"/>
    </row>
    <row r="23" spans="1:8" x14ac:dyDescent="0.55000000000000004">
      <c r="A23" s="17"/>
      <c r="B23" s="16"/>
      <c r="C23" s="16"/>
      <c r="D23" s="18"/>
      <c r="E23" s="18"/>
      <c r="F23" s="18"/>
      <c r="G23" s="18"/>
      <c r="H23" s="18"/>
    </row>
    <row r="24" spans="1:8" x14ac:dyDescent="0.55000000000000004">
      <c r="A24" s="17"/>
      <c r="B24" s="16"/>
      <c r="C24" s="16"/>
      <c r="D24" s="18"/>
      <c r="E24" s="18"/>
      <c r="F24" s="18"/>
      <c r="G24" s="18"/>
      <c r="H24" s="18"/>
    </row>
    <row r="25" spans="1:8" x14ac:dyDescent="0.55000000000000004">
      <c r="A25" s="17"/>
      <c r="B25" s="16"/>
      <c r="C25" s="16"/>
    </row>
    <row r="26" spans="1:8" x14ac:dyDescent="0.55000000000000004">
      <c r="A26" s="13"/>
      <c r="B26" s="16"/>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20" zoomScaleNormal="120" workbookViewId="0">
      <selection activeCell="A2" sqref="A2"/>
    </sheetView>
  </sheetViews>
  <sheetFormatPr defaultColWidth="8.83984375" defaultRowHeight="14.4" x14ac:dyDescent="0.55000000000000004"/>
  <cols>
    <col min="1" max="1" width="37.41796875" bestFit="1" customWidth="1"/>
    <col min="2" max="2" width="48.26171875" bestFit="1" customWidth="1"/>
    <col min="3" max="3" width="18.41796875" customWidth="1"/>
    <col min="4" max="5" width="16.41796875" customWidth="1"/>
    <col min="6" max="6" width="8.68359375" bestFit="1" customWidth="1"/>
    <col min="7" max="7" width="20.15625" customWidth="1"/>
    <col min="8" max="8" width="19" customWidth="1"/>
    <col min="9" max="9" width="10.68359375" bestFit="1" customWidth="1"/>
    <col min="10" max="10" width="8.15625" bestFit="1" customWidth="1"/>
    <col min="11" max="11" width="9.41796875" bestFit="1" customWidth="1"/>
  </cols>
  <sheetData>
    <row r="1" spans="1:11" s="43" customFormat="1" ht="68.400000000000006" x14ac:dyDescent="0.55000000000000004">
      <c r="A1" s="44" t="s">
        <v>305</v>
      </c>
      <c r="B1" s="45" t="s">
        <v>306</v>
      </c>
      <c r="C1" s="45" t="s">
        <v>307</v>
      </c>
      <c r="D1" s="45" t="s">
        <v>308</v>
      </c>
      <c r="E1" s="45" t="s">
        <v>309</v>
      </c>
      <c r="F1" s="45" t="s">
        <v>310</v>
      </c>
      <c r="G1" s="45" t="s">
        <v>311</v>
      </c>
      <c r="H1" s="45" t="s">
        <v>312</v>
      </c>
      <c r="I1" s="45" t="s">
        <v>313</v>
      </c>
      <c r="J1" s="45" t="s">
        <v>314</v>
      </c>
      <c r="K1" s="45" t="s">
        <v>315</v>
      </c>
    </row>
    <row r="2" spans="1:11" s="43" customFormat="1" ht="45.6" x14ac:dyDescent="0.55000000000000004">
      <c r="A2" s="42" t="s">
        <v>316</v>
      </c>
      <c r="B2" s="42" t="s">
        <v>317</v>
      </c>
      <c r="C2" s="42" t="s">
        <v>318</v>
      </c>
      <c r="D2" s="42" t="s">
        <v>319</v>
      </c>
      <c r="E2" s="42" t="s">
        <v>320</v>
      </c>
      <c r="F2" s="42" t="s">
        <v>321</v>
      </c>
      <c r="G2" s="42" t="s">
        <v>322</v>
      </c>
      <c r="H2" s="42" t="s">
        <v>323</v>
      </c>
      <c r="I2" s="42" t="s">
        <v>324</v>
      </c>
      <c r="J2" s="42"/>
      <c r="K2" s="42"/>
    </row>
    <row r="3" spans="1:11" s="43" customFormat="1" ht="45.6" x14ac:dyDescent="0.55000000000000004">
      <c r="A3" s="42" t="s">
        <v>325</v>
      </c>
      <c r="B3" s="42" t="s">
        <v>326</v>
      </c>
      <c r="C3" s="42" t="s">
        <v>327</v>
      </c>
      <c r="D3" s="42" t="s">
        <v>328</v>
      </c>
      <c r="E3" s="42"/>
      <c r="F3" s="42" t="s">
        <v>321</v>
      </c>
      <c r="G3" s="42" t="s">
        <v>322</v>
      </c>
      <c r="H3" s="42" t="s">
        <v>329</v>
      </c>
      <c r="I3" s="42" t="s">
        <v>324</v>
      </c>
      <c r="J3" s="42"/>
      <c r="K3" s="42"/>
    </row>
    <row r="4" spans="1:11" s="43" customFormat="1" ht="45.6" x14ac:dyDescent="0.55000000000000004">
      <c r="A4" s="42" t="s">
        <v>325</v>
      </c>
      <c r="B4" s="42" t="s">
        <v>330</v>
      </c>
      <c r="C4" s="42" t="s">
        <v>331</v>
      </c>
      <c r="D4" s="42" t="s">
        <v>332</v>
      </c>
      <c r="E4" s="42"/>
      <c r="F4" s="42" t="s">
        <v>321</v>
      </c>
      <c r="G4" s="42" t="s">
        <v>322</v>
      </c>
      <c r="H4" s="42" t="s">
        <v>329</v>
      </c>
      <c r="I4" s="42" t="s">
        <v>324</v>
      </c>
      <c r="J4" s="42"/>
      <c r="K4" s="42"/>
    </row>
    <row r="5" spans="1:11" s="43" customFormat="1" ht="45.6" x14ac:dyDescent="0.55000000000000004">
      <c r="A5" s="42" t="s">
        <v>325</v>
      </c>
      <c r="B5" s="42" t="s">
        <v>333</v>
      </c>
      <c r="C5" s="42" t="s">
        <v>331</v>
      </c>
      <c r="D5" s="42" t="s">
        <v>334</v>
      </c>
      <c r="E5" s="42"/>
      <c r="F5" s="42" t="s">
        <v>321</v>
      </c>
      <c r="G5" s="42" t="s">
        <v>322</v>
      </c>
      <c r="H5" s="42" t="s">
        <v>329</v>
      </c>
      <c r="I5" s="42" t="s">
        <v>324</v>
      </c>
      <c r="J5" s="42"/>
      <c r="K5" s="42"/>
    </row>
    <row r="6" spans="1:11" s="43" customFormat="1" x14ac:dyDescent="0.55000000000000004">
      <c r="A6" s="42"/>
      <c r="B6" s="42"/>
      <c r="C6" s="42"/>
      <c r="D6" s="42"/>
      <c r="E6" s="42"/>
      <c r="F6" s="42"/>
      <c r="G6" s="42"/>
      <c r="H6" s="42"/>
      <c r="I6" s="42"/>
      <c r="J6" s="42"/>
      <c r="K6" s="42"/>
    </row>
    <row r="7" spans="1:11" s="43" customFormat="1" x14ac:dyDescent="0.55000000000000004">
      <c r="A7" s="42"/>
      <c r="B7" s="42"/>
      <c r="C7" s="42"/>
      <c r="D7" s="42"/>
      <c r="E7" s="42"/>
      <c r="F7" s="42"/>
      <c r="G7" s="42"/>
      <c r="H7" s="42"/>
      <c r="I7" s="42"/>
      <c r="J7" s="42"/>
      <c r="K7" s="42"/>
    </row>
    <row r="8" spans="1:11" s="43" customFormat="1" x14ac:dyDescent="0.55000000000000004">
      <c r="A8" s="42"/>
      <c r="B8" s="42"/>
      <c r="C8" s="42"/>
      <c r="D8" s="42"/>
      <c r="E8" s="42"/>
      <c r="F8" s="42"/>
      <c r="G8" s="42"/>
      <c r="H8" s="42"/>
      <c r="I8" s="42"/>
      <c r="J8" s="42"/>
      <c r="K8" s="42"/>
    </row>
    <row r="9" spans="1:11" s="43" customFormat="1" x14ac:dyDescent="0.55000000000000004">
      <c r="A9" s="42"/>
      <c r="B9" s="42"/>
      <c r="C9" s="42"/>
      <c r="D9" s="42"/>
      <c r="E9" s="42"/>
      <c r="F9" s="42"/>
      <c r="G9" s="42"/>
      <c r="H9" s="42"/>
      <c r="I9" s="42"/>
      <c r="J9" s="42"/>
      <c r="K9" s="42"/>
    </row>
    <row r="10" spans="1:11" s="43" customFormat="1" x14ac:dyDescent="0.55000000000000004">
      <c r="A10" s="42"/>
      <c r="B10" s="42"/>
      <c r="C10" s="42"/>
      <c r="D10" s="42"/>
      <c r="E10" s="42"/>
      <c r="F10" s="42"/>
      <c r="G10" s="42"/>
      <c r="H10" s="42"/>
      <c r="I10" s="42"/>
      <c r="J10" s="42"/>
      <c r="K10" s="42"/>
    </row>
    <row r="11" spans="1:11" s="43" customFormat="1" x14ac:dyDescent="0.55000000000000004">
      <c r="A11" s="42"/>
      <c r="B11" s="42"/>
      <c r="C11" s="42"/>
      <c r="D11" s="42"/>
      <c r="E11" s="42"/>
      <c r="F11" s="42"/>
      <c r="G11" s="42"/>
      <c r="H11" s="42"/>
      <c r="I11" s="42"/>
      <c r="J11" s="42"/>
      <c r="K11" s="42"/>
    </row>
    <row r="12" spans="1:11" s="43" customFormat="1" x14ac:dyDescent="0.55000000000000004">
      <c r="A12" s="42"/>
      <c r="B12" s="42"/>
      <c r="C12" s="42"/>
      <c r="D12" s="42"/>
      <c r="E12" s="42"/>
      <c r="F12" s="42"/>
      <c r="G12" s="42"/>
      <c r="H12" s="42"/>
      <c r="I12" s="42"/>
      <c r="J12" s="42"/>
      <c r="K12" s="42"/>
    </row>
    <row r="13" spans="1:11" s="43" customFormat="1" x14ac:dyDescent="0.55000000000000004">
      <c r="A13" s="42"/>
      <c r="B13" s="42"/>
      <c r="C13" s="42"/>
      <c r="D13" s="42"/>
      <c r="E13" s="42"/>
      <c r="F13" s="42"/>
      <c r="G13" s="42"/>
      <c r="H13" s="42"/>
      <c r="I13" s="42"/>
      <c r="J13" s="42"/>
      <c r="K13" s="42"/>
    </row>
    <row r="14" spans="1:11" s="43" customFormat="1" x14ac:dyDescent="0.55000000000000004">
      <c r="A14" s="42"/>
      <c r="B14" s="42"/>
      <c r="C14" s="42"/>
      <c r="D14" s="42"/>
      <c r="E14" s="42"/>
      <c r="F14" s="42"/>
      <c r="G14" s="42"/>
      <c r="H14" s="42"/>
      <c r="I14" s="42"/>
      <c r="J14" s="42"/>
      <c r="K14" s="42"/>
    </row>
    <row r="15" spans="1:11" s="43" customFormat="1" x14ac:dyDescent="0.55000000000000004">
      <c r="A15" s="42"/>
      <c r="B15" s="42"/>
      <c r="C15" s="42"/>
      <c r="D15" s="42"/>
      <c r="E15" s="42"/>
      <c r="F15" s="42"/>
      <c r="G15" s="42"/>
      <c r="H15" s="42"/>
      <c r="I15" s="42"/>
      <c r="J15" s="42"/>
      <c r="K15" s="42"/>
    </row>
    <row r="16" spans="1:11" s="43" customFormat="1" x14ac:dyDescent="0.55000000000000004">
      <c r="A16" s="42"/>
      <c r="B16" s="42"/>
      <c r="C16" s="42"/>
      <c r="D16" s="42"/>
      <c r="E16" s="42"/>
      <c r="F16" s="42"/>
      <c r="G16" s="42"/>
      <c r="H16" s="42"/>
      <c r="I16" s="42"/>
      <c r="J16" s="42"/>
      <c r="K16" s="42"/>
    </row>
    <row r="17" spans="8:8" ht="14.7" x14ac:dyDescent="0.55000000000000004">
      <c r="H17" s="2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3984375" defaultRowHeight="14.4" x14ac:dyDescent="0.55000000000000004"/>
  <cols>
    <col min="1" max="1" width="6.578125" bestFit="1" customWidth="1"/>
    <col min="2" max="2" width="17.83984375" bestFit="1" customWidth="1"/>
    <col min="3" max="3" width="56.578125" customWidth="1"/>
    <col min="4" max="4" width="24.15625" customWidth="1"/>
  </cols>
  <sheetData>
    <row r="1" spans="1:4" ht="14.7" thickBot="1" x14ac:dyDescent="0.6">
      <c r="A1" s="2" t="s">
        <v>335</v>
      </c>
      <c r="B1" s="3" t="s">
        <v>336</v>
      </c>
      <c r="C1" s="3" t="s">
        <v>337</v>
      </c>
      <c r="D1" s="3" t="s">
        <v>338</v>
      </c>
    </row>
    <row r="2" spans="1:4" ht="28.5" thickBot="1" x14ac:dyDescent="0.6">
      <c r="A2" s="40" t="s">
        <v>339</v>
      </c>
      <c r="B2" s="3" t="s">
        <v>340</v>
      </c>
      <c r="C2" s="3" t="s">
        <v>341</v>
      </c>
      <c r="D2" s="3" t="s">
        <v>342</v>
      </c>
    </row>
    <row r="3" spans="1:4" ht="42.6" thickBot="1" x14ac:dyDescent="0.6">
      <c r="A3" s="40" t="s">
        <v>343</v>
      </c>
      <c r="B3" s="3" t="s">
        <v>344</v>
      </c>
      <c r="C3" s="3" t="s">
        <v>345</v>
      </c>
      <c r="D3" s="3" t="s">
        <v>345</v>
      </c>
    </row>
    <row r="4" spans="1:4" ht="28.5" thickBot="1" x14ac:dyDescent="0.6">
      <c r="A4" s="40" t="s">
        <v>346</v>
      </c>
      <c r="B4" s="3" t="s">
        <v>347</v>
      </c>
      <c r="C4" s="3" t="s">
        <v>348</v>
      </c>
      <c r="D4" s="3" t="s">
        <v>349</v>
      </c>
    </row>
    <row r="5" spans="1:4" ht="42.6" thickBot="1" x14ac:dyDescent="0.6">
      <c r="A5" s="40" t="s">
        <v>350</v>
      </c>
      <c r="B5" s="3" t="s">
        <v>351</v>
      </c>
      <c r="C5" s="3" t="s">
        <v>352</v>
      </c>
      <c r="D5" s="3" t="s">
        <v>353</v>
      </c>
    </row>
    <row r="6" spans="1:4" ht="70.8" thickBot="1" x14ac:dyDescent="0.6">
      <c r="A6" s="40" t="s">
        <v>354</v>
      </c>
      <c r="B6" s="3" t="s">
        <v>355</v>
      </c>
      <c r="C6" s="3" t="s">
        <v>356</v>
      </c>
      <c r="D6" s="3" t="s">
        <v>357</v>
      </c>
    </row>
    <row r="7" spans="1:4" ht="28.5" thickBot="1" x14ac:dyDescent="0.6">
      <c r="A7" s="40" t="s">
        <v>358</v>
      </c>
      <c r="B7" s="3" t="s">
        <v>359</v>
      </c>
      <c r="C7" s="3" t="s">
        <v>360</v>
      </c>
      <c r="D7" s="3" t="s">
        <v>361</v>
      </c>
    </row>
    <row r="8" spans="1:4" ht="28.5" thickBot="1" x14ac:dyDescent="0.6">
      <c r="A8" s="40" t="s">
        <v>362</v>
      </c>
      <c r="B8" s="3" t="s">
        <v>363</v>
      </c>
      <c r="C8" s="3" t="s">
        <v>364</v>
      </c>
      <c r="D8" s="3" t="s">
        <v>365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M20" sqref="M20"/>
    </sheetView>
  </sheetViews>
  <sheetFormatPr defaultRowHeight="14.4" x14ac:dyDescent="0.55000000000000004"/>
  <cols>
    <col min="1" max="1" width="6.578125" bestFit="1" customWidth="1"/>
    <col min="2" max="2" width="30.578125" customWidth="1"/>
  </cols>
  <sheetData>
    <row r="1" spans="1:2" ht="14.7" thickBot="1" x14ac:dyDescent="0.6">
      <c r="A1" s="2" t="s">
        <v>335</v>
      </c>
      <c r="B1" s="2" t="s">
        <v>366</v>
      </c>
    </row>
    <row r="2" spans="1:2" ht="42.6" thickBot="1" x14ac:dyDescent="0.6">
      <c r="A2" s="2" t="s">
        <v>339</v>
      </c>
      <c r="B2" s="2" t="s">
        <v>367</v>
      </c>
    </row>
    <row r="3" spans="1:2" ht="28.5" thickBot="1" x14ac:dyDescent="0.6">
      <c r="A3" s="2" t="s">
        <v>343</v>
      </c>
      <c r="B3" s="2" t="s">
        <v>368</v>
      </c>
    </row>
    <row r="4" spans="1:2" ht="42.6" thickBot="1" x14ac:dyDescent="0.6">
      <c r="A4" s="2" t="s">
        <v>346</v>
      </c>
      <c r="B4" s="2" t="s">
        <v>369</v>
      </c>
    </row>
    <row r="5" spans="1:2" ht="42.6" thickBot="1" x14ac:dyDescent="0.6">
      <c r="A5" s="2" t="s">
        <v>350</v>
      </c>
      <c r="B5" s="2" t="s">
        <v>370</v>
      </c>
    </row>
    <row r="6" spans="1:2" ht="28.5" thickBot="1" x14ac:dyDescent="0.6">
      <c r="A6" s="2" t="s">
        <v>354</v>
      </c>
      <c r="B6" s="2" t="s">
        <v>371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4.4" x14ac:dyDescent="0.55000000000000004"/>
  <cols>
    <col min="1" max="1" width="6.578125" bestFit="1" customWidth="1"/>
    <col min="2" max="2" width="53.15625" customWidth="1"/>
  </cols>
  <sheetData>
    <row r="1" spans="1:2" ht="14.7" thickBot="1" x14ac:dyDescent="0.6">
      <c r="A1" s="2" t="s">
        <v>335</v>
      </c>
      <c r="B1" s="2" t="s">
        <v>366</v>
      </c>
    </row>
    <row r="2" spans="1:2" ht="14.7" thickBot="1" x14ac:dyDescent="0.6">
      <c r="A2" s="2" t="s">
        <v>339</v>
      </c>
      <c r="B2" s="2" t="s">
        <v>372</v>
      </c>
    </row>
    <row r="3" spans="1:2" ht="14.7" thickBot="1" x14ac:dyDescent="0.6">
      <c r="A3" s="2" t="s">
        <v>343</v>
      </c>
      <c r="B3" s="2" t="s">
        <v>373</v>
      </c>
    </row>
    <row r="4" spans="1:2" ht="42.6" thickBot="1" x14ac:dyDescent="0.6">
      <c r="A4" s="2" t="s">
        <v>346</v>
      </c>
      <c r="B4" s="2" t="s">
        <v>374</v>
      </c>
    </row>
    <row r="5" spans="1:2" ht="28.5" thickBot="1" x14ac:dyDescent="0.6">
      <c r="A5" s="2" t="s">
        <v>350</v>
      </c>
      <c r="B5" s="2" t="s">
        <v>375</v>
      </c>
    </row>
    <row r="6" spans="1:2" ht="28.5" thickBot="1" x14ac:dyDescent="0.6">
      <c r="A6" s="2" t="s">
        <v>354</v>
      </c>
      <c r="B6" s="2" t="s">
        <v>376</v>
      </c>
    </row>
    <row r="7" spans="1:2" ht="14.7" thickBot="1" x14ac:dyDescent="0.6">
      <c r="A7" s="2" t="s">
        <v>358</v>
      </c>
      <c r="B7" s="2" t="s">
        <v>377</v>
      </c>
    </row>
    <row r="8" spans="1:2" ht="28.5" thickBot="1" x14ac:dyDescent="0.6">
      <c r="A8" s="2" t="s">
        <v>362</v>
      </c>
      <c r="B8" s="2" t="s">
        <v>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20" sqref="C20"/>
    </sheetView>
  </sheetViews>
  <sheetFormatPr defaultRowHeight="14.4" x14ac:dyDescent="0.55000000000000004"/>
  <cols>
    <col min="1" max="1" width="41.26171875" customWidth="1"/>
    <col min="2" max="2" width="20.26171875" customWidth="1"/>
    <col min="3" max="3" width="62.578125" bestFit="1" customWidth="1"/>
    <col min="4" max="4" width="83.15625" bestFit="1" customWidth="1"/>
  </cols>
  <sheetData>
    <row r="1" spans="1:4" x14ac:dyDescent="0.55000000000000004">
      <c r="A1" s="47" t="s">
        <v>379</v>
      </c>
      <c r="B1" s="47" t="s">
        <v>380</v>
      </c>
      <c r="C1" s="47" t="s">
        <v>381</v>
      </c>
      <c r="D1" s="47" t="s">
        <v>274</v>
      </c>
    </row>
    <row r="2" spans="1:4" x14ac:dyDescent="0.55000000000000004">
      <c r="A2" s="77" t="s">
        <v>382</v>
      </c>
      <c r="B2" s="76" t="s">
        <v>383</v>
      </c>
      <c r="C2" s="75" t="s">
        <v>384</v>
      </c>
      <c r="D2" s="62" t="s">
        <v>385</v>
      </c>
    </row>
    <row r="3" spans="1:4" x14ac:dyDescent="0.55000000000000004">
      <c r="A3" s="76"/>
      <c r="B3" s="76"/>
      <c r="C3" s="75"/>
      <c r="D3" s="62" t="s">
        <v>386</v>
      </c>
    </row>
    <row r="4" spans="1:4" x14ac:dyDescent="0.55000000000000004">
      <c r="A4" s="76" t="s">
        <v>387</v>
      </c>
      <c r="B4" s="76" t="s">
        <v>388</v>
      </c>
      <c r="C4" s="75" t="s">
        <v>389</v>
      </c>
      <c r="D4" s="62" t="s">
        <v>390</v>
      </c>
    </row>
    <row r="5" spans="1:4" x14ac:dyDescent="0.55000000000000004">
      <c r="A5" s="76"/>
      <c r="B5" s="76"/>
      <c r="C5" s="75"/>
      <c r="D5" s="62" t="s">
        <v>391</v>
      </c>
    </row>
    <row r="6" spans="1:4" x14ac:dyDescent="0.55000000000000004">
      <c r="A6" s="48" t="s">
        <v>392</v>
      </c>
      <c r="B6" s="48" t="s">
        <v>393</v>
      </c>
      <c r="C6" s="62" t="s">
        <v>394</v>
      </c>
      <c r="D6" s="62" t="s">
        <v>395</v>
      </c>
    </row>
    <row r="7" spans="1:4" x14ac:dyDescent="0.55000000000000004">
      <c r="A7" s="49" t="s">
        <v>396</v>
      </c>
      <c r="B7" s="68" t="s">
        <v>397</v>
      </c>
      <c r="C7" s="70" t="s">
        <v>398</v>
      </c>
      <c r="D7" s="62" t="s">
        <v>293</v>
      </c>
    </row>
    <row r="8" spans="1:4" x14ac:dyDescent="0.55000000000000004">
      <c r="A8" s="57" t="s">
        <v>399</v>
      </c>
      <c r="B8" s="48" t="s">
        <v>400</v>
      </c>
      <c r="C8" s="62" t="s">
        <v>287</v>
      </c>
      <c r="D8" s="62" t="s">
        <v>287</v>
      </c>
    </row>
    <row r="9" spans="1:4" ht="26.1" x14ac:dyDescent="0.55000000000000004">
      <c r="A9" s="49" t="s">
        <v>401</v>
      </c>
      <c r="B9" s="48" t="s">
        <v>402</v>
      </c>
      <c r="C9" s="67" t="s">
        <v>403</v>
      </c>
      <c r="D9" s="62" t="s">
        <v>297</v>
      </c>
    </row>
    <row r="10" spans="1:4" x14ac:dyDescent="0.55000000000000004">
      <c r="A10" s="48"/>
      <c r="B10" s="48"/>
      <c r="C10" s="68"/>
      <c r="D10" s="67" t="s">
        <v>287</v>
      </c>
    </row>
    <row r="11" spans="1:4" x14ac:dyDescent="0.55000000000000004">
      <c r="A11" s="49" t="s">
        <v>404</v>
      </c>
      <c r="B11" s="48" t="s">
        <v>405</v>
      </c>
      <c r="C11" s="69" t="s">
        <v>406</v>
      </c>
      <c r="D11" s="62" t="s">
        <v>407</v>
      </c>
    </row>
    <row r="12" spans="1:4" x14ac:dyDescent="0.55000000000000004">
      <c r="A12" s="48"/>
      <c r="B12" s="48"/>
      <c r="C12" s="68"/>
      <c r="D12" s="62" t="s">
        <v>408</v>
      </c>
    </row>
    <row r="13" spans="1:4" x14ac:dyDescent="0.55000000000000004">
      <c r="A13" s="51"/>
      <c r="B13" s="48"/>
      <c r="C13" s="68"/>
      <c r="D13" s="62" t="s">
        <v>409</v>
      </c>
    </row>
    <row r="14" spans="1:4" x14ac:dyDescent="0.55000000000000004">
      <c r="A14" s="51"/>
      <c r="B14" s="48"/>
      <c r="C14" s="68"/>
      <c r="D14" s="62" t="s">
        <v>410</v>
      </c>
    </row>
    <row r="15" spans="1:4" x14ac:dyDescent="0.55000000000000004">
      <c r="A15" s="51"/>
      <c r="B15" s="48"/>
      <c r="C15" s="48" t="s">
        <v>411</v>
      </c>
      <c r="D15" s="62" t="s">
        <v>412</v>
      </c>
    </row>
    <row r="16" spans="1:4" x14ac:dyDescent="0.55000000000000004">
      <c r="A16" s="51"/>
      <c r="B16" s="48"/>
      <c r="C16" s="48"/>
      <c r="D16" s="62" t="s">
        <v>413</v>
      </c>
    </row>
    <row r="17" spans="1:4" x14ac:dyDescent="0.55000000000000004">
      <c r="A17" s="51"/>
      <c r="B17" s="48"/>
      <c r="C17" s="48" t="s">
        <v>414</v>
      </c>
      <c r="D17" s="62" t="s">
        <v>415</v>
      </c>
    </row>
    <row r="18" spans="1:4" x14ac:dyDescent="0.55000000000000004">
      <c r="A18" s="51"/>
      <c r="B18" s="48"/>
      <c r="C18" s="48" t="s">
        <v>416</v>
      </c>
      <c r="D18" s="62" t="s">
        <v>417</v>
      </c>
    </row>
    <row r="19" spans="1:4" x14ac:dyDescent="0.55000000000000004">
      <c r="A19" s="51"/>
      <c r="B19" s="48"/>
      <c r="C19" s="48"/>
      <c r="D19" s="62" t="s">
        <v>418</v>
      </c>
    </row>
    <row r="20" spans="1:4" x14ac:dyDescent="0.55000000000000004">
      <c r="A20" s="49" t="s">
        <v>419</v>
      </c>
      <c r="B20" s="48" t="s">
        <v>420</v>
      </c>
      <c r="C20" s="68" t="s">
        <v>421</v>
      </c>
      <c r="D20" s="62" t="s">
        <v>422</v>
      </c>
    </row>
    <row r="21" spans="1:4" x14ac:dyDescent="0.55000000000000004">
      <c r="A21" s="48"/>
      <c r="B21" s="48"/>
      <c r="C21" s="68"/>
      <c r="D21" s="62" t="s">
        <v>423</v>
      </c>
    </row>
    <row r="22" spans="1:4" x14ac:dyDescent="0.55000000000000004">
      <c r="A22" s="48"/>
      <c r="B22" s="48"/>
      <c r="C22" s="68"/>
      <c r="D22" s="62" t="s">
        <v>424</v>
      </c>
    </row>
    <row r="23" spans="1:4" x14ac:dyDescent="0.55000000000000004">
      <c r="A23" s="48"/>
      <c r="B23" s="48"/>
      <c r="C23" s="48" t="s">
        <v>425</v>
      </c>
      <c r="D23" s="62" t="s">
        <v>426</v>
      </c>
    </row>
    <row r="24" spans="1:4" x14ac:dyDescent="0.55000000000000004">
      <c r="A24" s="48"/>
      <c r="B24" s="48"/>
      <c r="C24" s="48"/>
      <c r="D24" s="62" t="s">
        <v>427</v>
      </c>
    </row>
    <row r="25" spans="1:4" x14ac:dyDescent="0.55000000000000004">
      <c r="A25" s="48"/>
      <c r="B25" s="48"/>
      <c r="C25" s="48"/>
      <c r="D25" s="55" t="s">
        <v>428</v>
      </c>
    </row>
    <row r="26" spans="1:4" x14ac:dyDescent="0.55000000000000004">
      <c r="A26" s="48"/>
      <c r="B26" s="48"/>
      <c r="C26" s="48"/>
      <c r="D26" s="55" t="s">
        <v>428</v>
      </c>
    </row>
    <row r="27" spans="1:4" ht="39" x14ac:dyDescent="0.55000000000000004">
      <c r="A27" s="49" t="s">
        <v>429</v>
      </c>
      <c r="B27" s="53" t="s">
        <v>430</v>
      </c>
      <c r="C27" s="56" t="s">
        <v>431</v>
      </c>
      <c r="D27" s="55" t="s">
        <v>432</v>
      </c>
    </row>
    <row r="28" spans="1:4" x14ac:dyDescent="0.55000000000000004">
      <c r="A28" s="49" t="s">
        <v>433</v>
      </c>
      <c r="B28" s="49" t="s">
        <v>434</v>
      </c>
      <c r="C28" s="49" t="s">
        <v>435</v>
      </c>
      <c r="D28" s="49"/>
    </row>
    <row r="29" spans="1:4" x14ac:dyDescent="0.55000000000000004">
      <c r="A29" s="50" t="s">
        <v>436</v>
      </c>
      <c r="B29" s="50" t="s">
        <v>113</v>
      </c>
      <c r="C29" s="52" t="s">
        <v>437</v>
      </c>
      <c r="D29" s="55" t="s">
        <v>438</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purl.org/dc/elements/1.1/"/>
    <ds:schemaRef ds:uri="http://schemas.microsoft.com/office/2006/metadata/properties"/>
    <ds:schemaRef ds:uri="http://schemas.microsoft.com/office/infopath/2007/PartnerControls"/>
    <ds:schemaRef ds:uri="c01e712b-8f9b-4625-8219-31b20605feb3"/>
    <ds:schemaRef ds:uri="http://purl.org/dc/terms/"/>
    <ds:schemaRef ds:uri="http://schemas.microsoft.com/office/2006/documentManagement/types"/>
    <ds:schemaRef ds:uri="http://purl.org/dc/dcmitype/"/>
    <ds:schemaRef ds:uri="2b166a80-dccc-42cc-be33-87bca7e0d87c"/>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2022-08-01T10:57:06Z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