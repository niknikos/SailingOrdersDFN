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0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40A82FAE-B317-4D2A-A90B-63D28A5BCCE8}" xr6:coauthVersionLast="47" xr6:coauthVersionMax="47" xr10:uidLastSave="{00000000-0000-0000-0000-000000000000}"/>
  <bookViews>
    <workbookView xWindow="57480" yWindow="-1800" windowWidth="29040" windowHeight="17640" tabRatio="757" activeTab="5"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4" r:id="rId7"/>
    <sheet name="datahandovertab" sheetId="5" r:id="rId8"/>
    <sheet name="biosamplingtab" sheetId="11" r:id="rId9"/>
    <sheet name="collectedsamplestab" sheetId="6" r:id="rId10"/>
    <sheet name="matstagetab" sheetId="10" r:id="rId11"/>
    <sheet name="fatstageanchtab" sheetId="21" r:id="rId12"/>
    <sheet name="fatstagesarhtab" sheetId="22" r:id="rId13"/>
    <sheet name="acousticcattab" sheetId="18" r:id="rId14"/>
    <sheet name="transectpostab" sheetId="19" r:id="rId15"/>
    <sheet name="transectranktab" sheetId="20" r:id="rId16"/>
    <sheet name="additionalsamplingtab" sheetId="17" r:id="rId17"/>
    <sheet name="taxonomytab" sheetId="16"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K2" i="2"/>
  <c r="L2" i="2"/>
  <c r="F3" i="2"/>
  <c r="K3" i="2"/>
  <c r="M10" i="2" s="1"/>
  <c r="L3" i="2"/>
  <c r="F4" i="2"/>
  <c r="K4" i="2"/>
  <c r="L4" i="2"/>
  <c r="F5" i="2"/>
  <c r="K5" i="2"/>
  <c r="L5" i="2"/>
  <c r="F6" i="2"/>
  <c r="K6" i="2"/>
  <c r="L6" i="2"/>
  <c r="F7" i="2"/>
  <c r="K7" i="2"/>
  <c r="L7" i="2" s="1"/>
  <c r="F8" i="2"/>
  <c r="K8" i="2"/>
  <c r="L8" i="2"/>
  <c r="F9" i="2"/>
  <c r="K9" i="2"/>
  <c r="L9" i="2"/>
  <c r="F10" i="2"/>
  <c r="K10" i="2"/>
  <c r="L10" i="2" s="1"/>
</calcChain>
</file>

<file path=xl/sharedStrings.xml><?xml version="1.0" encoding="utf-8"?>
<sst xmlns="http://schemas.openxmlformats.org/spreadsheetml/2006/main" count="2756" uniqueCount="1451">
  <si>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</si>
  <si>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</si>
  <si>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</si>
  <si>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</si>
  <si>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</si>
  <si>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</si>
  <si>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</si>
  <si>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</si>
  <si>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</si>
  <si>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</si>
  <si>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</si>
  <si>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</si>
  <si>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</si>
  <si>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</si>
  <si>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</si>
  <si>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</si>
  <si>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</si>
  <si>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List of people planned to participate on the survey</t>
  </si>
  <si>
    <t>addsamplingtab</t>
  </si>
  <si>
    <t>Data entry spreadsheet example</t>
  </si>
  <si>
    <t>taxonomytab</t>
  </si>
  <si>
    <t>Invertebrate families for which biolocical samples are to be collected for taxonomic courses</t>
  </si>
  <si>
    <t>acousticcattab</t>
  </si>
  <si>
    <t>Allocation of acoustic densities to species groups</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</si>
  <si>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</si>
  <si>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</si>
  <si>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</si>
  <si>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</si>
  <si>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</si>
  <si>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Gonad stage descriptions for anchovy, sardine and round herring</t>
  </si>
  <si>
    <t>fatstageanchtab</t>
  </si>
  <si>
    <t>Fat stage descriptions for anchovy</t>
  </si>
  <si>
    <t>fatstagesarhtab</t>
  </si>
  <si>
    <t>Fat stage descriptions for sardine and round herring</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</si>
  <si>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</si>
  <si>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</si>
  <si>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</si>
  <si>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</si>
  <si>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</si>
  <si>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</si>
  <si>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</si>
  <si>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</si>
  <si>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</si>
  <si>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</si>
  <si>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</si>
  <si>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</si>
  <si>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</si>
  <si>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</si>
  <si>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Addressing population structure of shared pelagic stocks</t>
  </si>
  <si>
    <t>Nikolaos Nikolioudakis (IMR)</t>
  </si>
  <si>
    <t>Theme 3</t>
  </si>
  <si>
    <t>Bjørn Erik Axelsen (IMR)</t>
  </si>
  <si>
    <t>Theme 6</t>
  </si>
  <si>
    <t>Peter Kershaw (FAO consultant and GESAMP), BE Grøsvik (IMR)</t>
  </si>
  <si>
    <t>Theme 11</t>
  </si>
  <si>
    <t>Ecosystem characterization of the BCC area</t>
  </si>
  <si>
    <t>Cecilie Hansen (IMR)</t>
  </si>
  <si>
    <t>Survey Name</t>
  </si>
  <si>
    <t>Duration in days</t>
  </si>
  <si>
    <t>Departure</t>
  </si>
  <si>
    <t>Arrival</t>
  </si>
  <si>
    <t>Port of Departure</t>
  </si>
  <si>
    <t>Port of Arrival</t>
  </si>
  <si>
    <t>Leg 4.1  Small pelagic fish in South-Africa (Orange River- Port Alfred)</t>
  </si>
  <si>
    <t>11/06/22</t>
  </si>
  <si>
    <t>12/07/22</t>
  </si>
  <si>
    <t>Walvis Bay</t>
  </si>
  <si>
    <t>Cape Town</t>
  </si>
  <si>
    <t>A: Walvis Bay to Cape Town</t>
  </si>
  <si>
    <t>26/06/22</t>
  </si>
  <si>
    <t>B: Cape Town to Cape Town</t>
  </si>
  <si>
    <t>Leg</t>
  </si>
  <si>
    <t>Position/laboratory</t>
  </si>
  <si>
    <t>Min personnel</t>
  </si>
  <si>
    <t>DFN core team</t>
  </si>
  <si>
    <t>DFN core team (IMR)</t>
  </si>
  <si>
    <t>DFN core team (non-IMR)</t>
  </si>
  <si>
    <t>Namibia</t>
  </si>
  <si>
    <t>Angola</t>
  </si>
  <si>
    <t>South Africa</t>
  </si>
  <si>
    <t>FAO/External experts</t>
  </si>
  <si>
    <t>Total non-IMR personnel</t>
  </si>
  <si>
    <t>Missing personnel</t>
  </si>
  <si>
    <t>Leg4.1</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</si>
  <si>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</si>
  <si>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</si>
  <si>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</si>
  <si>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</si>
  <si>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</si>
  <si>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</si>
  <si>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</si>
  <si>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</si>
  <si>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</si>
  <si>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</si>
  <si>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</si>
  <si>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</si>
  <si>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</si>
  <si>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</si>
  <si>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</si>
  <si>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</si>
  <si>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Bjørn-Erik Axelsen</t>
  </si>
  <si>
    <t>Bjoern-Erik. Axelsen@hi.no</t>
  </si>
  <si>
    <t>M</t>
  </si>
  <si>
    <t>IMR</t>
  </si>
  <si>
    <t>NORWAY</t>
  </si>
  <si>
    <t>Diana Zarea-Perez</t>
  </si>
  <si>
    <t>Fish Team Leader</t>
  </si>
  <si>
    <t>F</t>
  </si>
  <si>
    <t>SPAIN</t>
  </si>
  <si>
    <t>Tom Wiliams</t>
  </si>
  <si>
    <t>Jan Frode Wilhelmsen</t>
  </si>
  <si>
    <t>Chief Instruments Engineer</t>
  </si>
  <si>
    <t>jan.frode.wilhelmsen@hi.no</t>
  </si>
  <si>
    <t>Jostein Solhaug</t>
  </si>
  <si>
    <t>Instruments Engineer</t>
  </si>
  <si>
    <t>jostein.solhaug@imr.no</t>
  </si>
  <si>
    <t>Yonela Geja</t>
  </si>
  <si>
    <t>Fish team</t>
  </si>
  <si>
    <t>DFFE</t>
  </si>
  <si>
    <t>Johan Mhlongo</t>
  </si>
  <si>
    <t>Winston April</t>
  </si>
  <si>
    <t>Ashok Bali</t>
  </si>
  <si>
    <t>Gino Jarvis</t>
  </si>
  <si>
    <t>Nomzolisi Mxunyelwa</t>
  </si>
  <si>
    <t>Joana Pinheiro</t>
  </si>
  <si>
    <t>INIP</t>
  </si>
  <si>
    <t>Janet Coetzee</t>
  </si>
  <si>
    <t>Co-Cruise leader</t>
  </si>
  <si>
    <t>Monique van Neel</t>
  </si>
  <si>
    <t>Dumisani Ntiyantiya</t>
  </si>
  <si>
    <t>Lennox Maliza</t>
  </si>
  <si>
    <t>Other (Acoustics)</t>
  </si>
  <si>
    <t>Jean Mciwigi</t>
  </si>
  <si>
    <t>Aristóteles Amaro</t>
  </si>
  <si>
    <t>Fannie Shabangu</t>
  </si>
  <si>
    <t>Carl van der Lingen</t>
  </si>
  <si>
    <t>Vumani Adonis</t>
  </si>
  <si>
    <t>Component sampled</t>
  </si>
  <si>
    <t>Equipment</t>
  </si>
  <si>
    <t>Physical-air</t>
  </si>
  <si>
    <t>Weather station (wind speed, direction, temperature, light sensor)</t>
  </si>
  <si>
    <t>Physical-water</t>
  </si>
  <si>
    <t>Chemical-water</t>
  </si>
  <si>
    <t>Phytoplankton</t>
  </si>
  <si>
    <t>Zooplankton</t>
  </si>
  <si>
    <t>Ichthyoplankton and jellyfish</t>
  </si>
  <si>
    <t>CUFES (continuous underwater fish egg sampler)</t>
  </si>
  <si>
    <t>Fish (incl. mesopelagic fish)</t>
  </si>
  <si>
    <t>Pelagic (Åkra trawl, MultPelt trawl) and Demersal trawls (Gisund Super), Echo sounders (EK 80), Omni-directional Fisheries sonar (SH 90)</t>
  </si>
  <si>
    <t xml:space="preserve">Benthos </t>
  </si>
  <si>
    <t xml:space="preserve">Demersal trawl (Gisund) </t>
  </si>
  <si>
    <t>Plastic</t>
  </si>
  <si>
    <t>Mammals and seabirds</t>
  </si>
  <si>
    <t>Bathymetry</t>
  </si>
  <si>
    <t>Olex (with input from EM 710)</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</si>
  <si>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</si>
  <si>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</si>
  <si>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</si>
  <si>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</si>
  <si>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</si>
  <si>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</si>
  <si>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</si>
  <si>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</si>
  <si>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</si>
  <si>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</si>
  <si>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</si>
  <si>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</si>
  <si>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</si>
  <si>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</si>
  <si>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</si>
  <si>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</si>
  <si>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</si>
  <si>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</si>
  <si>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</si>
  <si>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</si>
  <si>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</si>
  <si>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</si>
  <si>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</si>
  <si>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</si>
  <si>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</si>
  <si>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</si>
  <si>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</si>
  <si>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</si>
  <si>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</si>
  <si>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PCO2</t>
  </si>
  <si>
    <t>Chlorophyll</t>
  </si>
  <si>
    <t>Biology</t>
  </si>
  <si>
    <t>Trawl catch data</t>
  </si>
  <si>
    <t>Zooplankton biomass</t>
  </si>
  <si>
    <t>Pollution</t>
  </si>
  <si>
    <t>Microplastics</t>
  </si>
  <si>
    <t>Observation platforms</t>
  </si>
  <si>
    <t>VAMS</t>
  </si>
  <si>
    <t>WBAT</t>
  </si>
  <si>
    <t>Deep vision</t>
  </si>
  <si>
    <t xml:space="preserve">Scanmar </t>
  </si>
  <si>
    <t xml:space="preserve">Activity diary (cruise logger) </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</si>
  <si>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</si>
  <si>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</si>
  <si>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</si>
  <si>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</si>
  <si>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</si>
  <si>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</si>
  <si>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</si>
  <si>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</si>
  <si>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</si>
  <si>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</si>
  <si>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</si>
  <si>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</si>
  <si>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</si>
  <si>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</si>
  <si>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</si>
  <si>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</si>
  <si>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</si>
  <si>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</si>
  <si>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</si>
  <si>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</si>
  <si>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</si>
  <si>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</si>
  <si>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</si>
  <si>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</si>
  <si>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</si>
  <si>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</si>
  <si>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</si>
  <si>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</si>
  <si>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</si>
  <si>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</si>
  <si>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</si>
  <si>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</si>
  <si>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</si>
  <si>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</si>
  <si>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</si>
  <si>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sardine and herring eggs</t>
  </si>
  <si>
    <t xml:space="preserve">Bottles (250 mL) </t>
  </si>
  <si>
    <t>5% formaldehyde solution</t>
  </si>
  <si>
    <t>10 Lt  37% formaldehyde solution</t>
  </si>
  <si>
    <t xml:space="preserve">Forestry, Fsheries, and the Environemnt </t>
  </si>
  <si>
    <t xml:space="preserve"> Carl van der Lingen carl.vanderlingen@gmail.com</t>
  </si>
  <si>
    <t>Trawl samples</t>
  </si>
  <si>
    <t>otoliths from sardine, anchovy and round herring for age determination studies.</t>
  </si>
  <si>
    <t>Frozen</t>
  </si>
  <si>
    <t>Las Palmas</t>
  </si>
  <si>
    <t>Sea freight</t>
  </si>
  <si>
    <t>IEO Center, Tenerife</t>
  </si>
  <si>
    <t>?</t>
  </si>
  <si>
    <t>sardine (both juveniles and adults) for an analysis of infection by a “tetracotyle” type digenean parasite.</t>
  </si>
  <si>
    <t>Whole fish</t>
  </si>
  <si>
    <t>Peter Psomadakis/ Jose Francisco Gonzales Jimenez</t>
  </si>
  <si>
    <t>round herring for monitoring of microplastic pollution in the SA marine pelagos.</t>
  </si>
  <si>
    <t>Frozen (&gt;20 cm length)</t>
  </si>
  <si>
    <t>Jose Francisco Gonzales Jimenez</t>
  </si>
  <si>
    <t>sardine, anchovy and round herring for assessment of their anthropogenic pollutant (herbicides, pharmaceuticals) levels.</t>
  </si>
  <si>
    <t xml:space="preserve">Frozen </t>
  </si>
  <si>
    <t>Frozen: sent to IMR</t>
  </si>
  <si>
    <r>
      <t xml:space="preserve">Diana Zaera  </t>
    </r>
    <r>
      <rPr>
        <sz val="11"/>
        <color rgb="FF000000"/>
        <rFont val="Calibri"/>
        <family val="2"/>
      </rPr>
      <t>/ Sarah Bruck</t>
    </r>
  </si>
  <si>
    <t>chub mackerel for collection of meristic information for stock/species identification.</t>
  </si>
  <si>
    <t>Road</t>
  </si>
  <si>
    <t>NatMIRC</t>
  </si>
  <si>
    <t>Peter Psomadakis</t>
  </si>
  <si>
    <t>Hector’s lanternfish and lightfish for basic biology studies.</t>
  </si>
  <si>
    <t>Geir/Maria</t>
  </si>
  <si>
    <t>uncommon and/or unidentified mesopelagic fish species for basic biology studies.</t>
  </si>
  <si>
    <t>pelagic gobies for basic biology studies.</t>
  </si>
  <si>
    <t>jellyfish (Chrysaora and Aequorea) tissue for genetic analysis</t>
  </si>
  <si>
    <t>Mariann Kjellevold</t>
  </si>
  <si>
    <t>uni dentified fish - Taxonomy</t>
  </si>
  <si>
    <t>Las palmas</t>
  </si>
  <si>
    <t>University of Vigo
Facultad de Ciencias del Mar 
Campus Uni Lagoas Marcosende
CP: 36310 Vigo – Pontevedra
Spain</t>
  </si>
  <si>
    <t>Fran Ramil Blanco</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</si>
  <si>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</si>
  <si>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</si>
  <si>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</si>
  <si>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</si>
  <si>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</si>
  <si>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</si>
  <si>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</si>
  <si>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</si>
  <si>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</si>
  <si>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</si>
  <si>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</si>
  <si>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</si>
  <si>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</si>
  <si>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</si>
  <si>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</si>
  <si>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</si>
  <si>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</si>
  <si>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</si>
  <si>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</si>
  <si>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</si>
  <si>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</si>
  <si>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</si>
  <si>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</si>
  <si>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</si>
  <si>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</si>
  <si>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</si>
  <si>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</si>
  <si>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</si>
  <si>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</si>
  <si>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</si>
  <si>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</si>
  <si>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</si>
  <si>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</si>
  <si>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</si>
  <si>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</si>
  <si>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</si>
  <si>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</si>
  <si>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</si>
  <si>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</si>
  <si>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</si>
  <si>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</si>
  <si>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</si>
  <si>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</si>
  <si>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</si>
  <si>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</si>
  <si>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</si>
  <si>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</si>
  <si>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Comments</t>
  </si>
  <si>
    <t>SARD </t>
  </si>
  <si>
    <t>Sardinella </t>
  </si>
  <si>
    <t>HMACK </t>
  </si>
  <si>
    <t>Horse mackerel </t>
  </si>
  <si>
    <t>MACKE </t>
  </si>
  <si>
    <t>Mackerel </t>
  </si>
  <si>
    <t>PILCH</t>
  </si>
  <si>
    <t>Pilchard/redeye</t>
  </si>
  <si>
    <t>PEL1 </t>
  </si>
  <si>
    <t>ANCHO</t>
  </si>
  <si>
    <t>Anchovy</t>
  </si>
  <si>
    <t>PEL2 </t>
  </si>
  <si>
    <t>Scombridae </t>
  </si>
  <si>
    <t>Sphyraenidae </t>
  </si>
  <si>
    <t>Trichiuridae</t>
  </si>
  <si>
    <t>BOTT </t>
  </si>
  <si>
    <t>Demersal species</t>
  </si>
  <si>
    <t>Sparidae^[Main taxa group]</t>
  </si>
  <si>
    <t>Other taxa </t>
  </si>
  <si>
    <t>MESO</t>
  </si>
  <si>
    <t>Myctophidae</t>
  </si>
  <si>
    <t>lanternfish</t>
  </si>
  <si>
    <t>lightfish</t>
  </si>
  <si>
    <t> </t>
  </si>
  <si>
    <t>Other mesopelagic fish</t>
  </si>
  <si>
    <t>PLANK </t>
  </si>
  <si>
    <t>Plankton </t>
  </si>
  <si>
    <t>Plankton, Euphausiids</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</si>
  <si>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</si>
  <si>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</si>
  <si>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</si>
  <si>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</si>
  <si>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</si>
  <si>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</si>
  <si>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</si>
  <si>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</si>
  <si>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</si>
  <si>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</si>
  <si>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</si>
  <si>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</si>
  <si>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</si>
  <si>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</si>
  <si>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</si>
  <si>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</si>
  <si>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</si>
  <si>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</si>
  <si>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</si>
  <si>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</si>
  <si>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</si>
  <si>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</si>
  <si>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</si>
  <si>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</si>
  <si>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</si>
  <si>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</si>
  <si>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</si>
  <si>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</si>
  <si>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</si>
  <si>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</si>
  <si>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</si>
  <si>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</si>
  <si>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</si>
  <si>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</si>
  <si>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</si>
  <si>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</si>
  <si>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</si>
  <si>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</si>
  <si>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</si>
  <si>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</si>
  <si>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</si>
  <si>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</si>
  <si>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</si>
  <si>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</si>
  <si>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</si>
  <si>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</si>
  <si>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</si>
  <si>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</si>
  <si>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</si>
  <si>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</si>
  <si>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</si>
  <si>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</si>
  <si>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</si>
  <si>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</si>
  <si>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</si>
  <si>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</si>
  <si>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</si>
  <si>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</si>
  <si>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</si>
  <si>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</si>
  <si>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</si>
  <si>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</si>
  <si>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</si>
  <si>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</si>
  <si>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</si>
  <si>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</si>
  <si>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</si>
  <si>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</si>
  <si>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</si>
  <si>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</si>
  <si>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</si>
  <si>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</si>
  <si>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</si>
  <si>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</si>
  <si>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</si>
  <si>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</si>
  <si>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</si>
  <si>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</si>
  <si>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</si>
  <si>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</si>
  <si>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</si>
  <si>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</si>
  <si>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</si>
  <si>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</si>
  <si>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</si>
  <si>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</si>
  <si>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</si>
  <si>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</si>
  <si>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</si>
  <si>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</si>
  <si>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</si>
  <si>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</si>
  <si>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</si>
  <si>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</si>
  <si>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</si>
  <si>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</si>
  <si>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</si>
  <si>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</si>
  <si>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</si>
  <si>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</si>
  <si>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</si>
  <si>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</si>
  <si>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</si>
  <si>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</si>
  <si>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</si>
  <si>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</si>
  <si>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</si>
  <si>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</si>
  <si>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</si>
  <si>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</si>
  <si>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</si>
  <si>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</si>
  <si>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</si>
  <si>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</si>
  <si>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</si>
  <si>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</si>
  <si>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</si>
  <si>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</si>
  <si>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</si>
  <si>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</si>
  <si>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</si>
  <si>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</si>
  <si>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</si>
  <si>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</si>
  <si>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</si>
  <si>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</si>
  <si>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</si>
  <si>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</si>
  <si>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</si>
  <si>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</si>
  <si>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</si>
  <si>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</si>
  <si>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</si>
  <si>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</si>
  <si>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</si>
  <si>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</si>
  <si>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</si>
  <si>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</si>
  <si>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</si>
  <si>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</si>
  <si>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</si>
  <si>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</si>
  <si>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</si>
  <si>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</si>
  <si>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</si>
  <si>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</si>
  <si>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</si>
  <si>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</si>
  <si>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</si>
  <si>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</si>
  <si>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</si>
  <si>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</si>
  <si>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</si>
  <si>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</si>
  <si>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</si>
  <si>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</si>
  <si>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</si>
  <si>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</si>
  <si>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</si>
  <si>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</si>
  <si>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</si>
  <si>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</si>
  <si>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</si>
  <si>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</si>
  <si>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</si>
  <si>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</si>
  <si>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</si>
  <si>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</si>
  <si>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</si>
  <si>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</si>
  <si>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</si>
  <si>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</si>
  <si>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</si>
  <si>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</si>
  <si>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</si>
  <si>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</si>
  <si>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</si>
  <si>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</si>
  <si>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</si>
  <si>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</si>
  <si>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</si>
  <si>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</si>
  <si>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</si>
  <si>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</si>
  <si>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</si>
  <si>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</si>
  <si>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</si>
  <si>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</si>
  <si>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</si>
  <si>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</si>
  <si>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</si>
  <si>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</si>
  <si>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</si>
  <si>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</si>
  <si>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</si>
  <si>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</si>
  <si>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</si>
  <si>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</si>
  <si>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</si>
  <si>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</si>
  <si>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</si>
  <si>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</si>
  <si>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</si>
  <si>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</si>
  <si>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</si>
  <si>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</si>
  <si>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</si>
  <si>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</si>
  <si>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</si>
  <si>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</si>
  <si>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</si>
  <si>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</si>
  <si>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</si>
  <si>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</si>
  <si>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</si>
  <si>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</si>
  <si>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</si>
  <si>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</si>
  <si>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</si>
  <si>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</si>
  <si>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</si>
  <si>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</si>
  <si>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</si>
  <si>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</si>
  <si>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</si>
  <si>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</si>
  <si>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</si>
  <si>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</si>
  <si>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</si>
  <si>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</si>
  <si>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</si>
  <si>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</si>
  <si>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</si>
  <si>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</si>
  <si>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</si>
  <si>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</si>
  <si>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</si>
  <si>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</si>
  <si>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</si>
  <si>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</si>
  <si>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</si>
  <si>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</si>
  <si>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</si>
  <si>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</si>
  <si>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</si>
  <si>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</si>
  <si>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</si>
  <si>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</si>
  <si>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</si>
  <si>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</si>
  <si>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</si>
  <si>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</si>
  <si>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</si>
  <si>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</si>
  <si>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</si>
  <si>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</si>
  <si>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</si>
  <si>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</si>
  <si>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</si>
  <si>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</si>
  <si>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</si>
  <si>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</si>
  <si>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</si>
  <si>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</si>
  <si>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</si>
  <si>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</si>
  <si>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</si>
  <si>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</si>
  <si>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</si>
  <si>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</si>
  <si>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</si>
  <si>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</si>
  <si>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</si>
  <si>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</si>
  <si>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</si>
  <si>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</si>
  <si>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</si>
  <si>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</si>
  <si>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</si>
  <si>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</si>
  <si>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</si>
  <si>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</si>
  <si>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</si>
  <si>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</si>
  <si>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</si>
  <si>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</si>
  <si>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</si>
  <si>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</si>
  <si>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</si>
  <si>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</si>
  <si>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</si>
  <si>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</si>
  <si>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</si>
  <si>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</si>
  <si>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</si>
  <si>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</si>
  <si>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</si>
  <si>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</si>
  <si>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</si>
  <si>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</si>
  <si>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</si>
  <si>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</si>
  <si>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</si>
  <si>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</si>
  <si>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</si>
  <si>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</si>
  <si>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</si>
  <si>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</si>
  <si>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</si>
  <si>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</si>
  <si>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</si>
  <si>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</si>
  <si>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</si>
  <si>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</si>
  <si>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</si>
  <si>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</si>
  <si>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</si>
  <si>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</si>
  <si>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</si>
  <si>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</si>
  <si>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</si>
  <si>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</si>
  <si>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</si>
  <si>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</si>
  <si>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</si>
  <si>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</si>
  <si>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</si>
  <si>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</si>
  <si>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</si>
  <si>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</si>
  <si>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</si>
  <si>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</si>
  <si>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</si>
  <si>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</si>
  <si>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</si>
  <si>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</si>
  <si>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</si>
  <si>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</si>
  <si>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</si>
  <si>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</si>
  <si>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</si>
  <si>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</si>
  <si>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</si>
  <si>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</si>
  <si>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</si>
  <si>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</si>
  <si>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</si>
  <si>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</si>
  <si>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</si>
  <si>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</si>
  <si>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</si>
  <si>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</si>
  <si>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</si>
  <si>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</si>
  <si>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</si>
  <si>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</si>
  <si>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</si>
  <si>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</si>
  <si>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</si>
  <si>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</si>
  <si>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</si>
  <si>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</si>
  <si>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</si>
  <si>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</si>
  <si>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</si>
  <si>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</si>
  <si>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</si>
  <si>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</si>
  <si>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</si>
  <si>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</si>
  <si>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</si>
  <si>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</si>
  <si>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</si>
  <si>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</si>
  <si>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</si>
  <si>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</si>
  <si>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</si>
  <si>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</si>
  <si>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</si>
  <si>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</si>
  <si>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</si>
  <si>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</si>
  <si>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</si>
  <si>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</si>
  <si>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</si>
  <si>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</si>
  <si>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</si>
  <si>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</si>
  <si>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</si>
  <si>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</si>
  <si>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</si>
  <si>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</si>
  <si>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</si>
  <si>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</si>
  <si>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</si>
  <si>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</si>
  <si>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</si>
  <si>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</si>
  <si>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</si>
  <si>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</si>
  <si>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</si>
  <si>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</si>
  <si>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</si>
  <si>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</si>
  <si>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</si>
  <si>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</si>
  <si>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</si>
  <si>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</si>
  <si>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</si>
  <si>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</si>
  <si>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</si>
  <si>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</si>
  <si>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</si>
  <si>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</si>
  <si>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</si>
  <si>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</si>
  <si>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</si>
  <si>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</si>
  <si>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</si>
  <si>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</si>
  <si>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</si>
  <si>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</si>
  <si>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</si>
  <si>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</si>
  <si>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</si>
  <si>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</si>
  <si>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</si>
  <si>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</si>
  <si>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</si>
  <si>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</si>
  <si>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</si>
  <si>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</si>
  <si>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</si>
  <si>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</si>
  <si>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</si>
  <si>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</si>
  <si>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</si>
  <si>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</si>
  <si>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</si>
  <si>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</si>
  <si>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</si>
  <si>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</si>
  <si>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</si>
  <si>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</si>
  <si>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</si>
  <si>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</si>
  <si>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</si>
  <si>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</si>
  <si>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</si>
  <si>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</si>
  <si>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</si>
  <si>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</si>
  <si>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</si>
  <si>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</si>
  <si>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</si>
  <si>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</si>
  <si>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</si>
  <si>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</si>
  <si>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</si>
  <si>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</si>
  <si>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</si>
  <si>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</si>
  <si>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</si>
  <si>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</si>
  <si>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</si>
  <si>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</si>
  <si>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</si>
  <si>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</si>
  <si>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</si>
  <si>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</si>
  <si>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</si>
  <si>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</si>
  <si>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</si>
  <si>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</si>
  <si>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</si>
  <si>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</si>
  <si>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</si>
  <si>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</si>
  <si>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</si>
  <si>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</si>
  <si>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</si>
  <si>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</si>
  <si>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</si>
  <si>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</si>
  <si>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</si>
  <si>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</si>
  <si>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</si>
  <si>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</si>
  <si>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</si>
  <si>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</si>
  <si>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</si>
  <si>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</si>
  <si>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</si>
  <si>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</si>
  <si>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</si>
  <si>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</si>
  <si>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</si>
  <si>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</si>
  <si>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</si>
  <si>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</si>
  <si>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</si>
  <si>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</si>
  <si>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</si>
  <si>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</si>
  <si>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</si>
  <si>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</si>
  <si>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</si>
  <si>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</si>
  <si>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</si>
  <si>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</si>
  <si>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</si>
  <si>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</si>
  <si>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</si>
  <si>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</si>
  <si>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</si>
  <si>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</si>
  <si>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</si>
  <si>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</si>
  <si>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</si>
  <si>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</si>
  <si>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</si>
  <si>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</si>
  <si>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</si>
  <si>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</si>
  <si>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</si>
  <si>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</si>
  <si>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</si>
  <si>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</si>
  <si>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</si>
  <si>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</si>
  <si>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</si>
  <si>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</si>
  <si>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</si>
  <si>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</si>
  <si>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</si>
  <si>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</si>
  <si>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</si>
  <si>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</si>
  <si>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</si>
  <si>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</si>
  <si>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</si>
  <si>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</si>
  <si>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</si>
  <si>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</si>
  <si>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</si>
  <si>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</si>
  <si>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</si>
  <si>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</si>
  <si>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</si>
  <si>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</si>
  <si>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</si>
  <si>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</si>
  <si>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</si>
  <si>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</si>
  <si>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</si>
  <si>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</si>
  <si>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</si>
  <si>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</si>
  <si>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</si>
  <si>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</si>
  <si>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</si>
  <si>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</si>
  <si>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</si>
  <si>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</si>
  <si>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</si>
  <si>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</si>
  <si>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</si>
  <si>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</si>
  <si>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</si>
  <si>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</si>
  <si>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</si>
  <si>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</si>
  <si>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</si>
  <si>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</si>
  <si>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</si>
  <si>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</si>
  <si>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</si>
  <si>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</si>
  <si>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</si>
  <si>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</si>
  <si>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</si>
  <si>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</si>
  <si>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</si>
  <si>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</si>
  <si>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</si>
  <si>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</si>
  <si>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</si>
  <si>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</si>
  <si>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</si>
  <si>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</si>
  <si>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</si>
  <si>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</si>
  <si>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</si>
  <si>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</si>
  <si>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</si>
  <si>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</si>
  <si>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</si>
  <si>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</si>
  <si>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</si>
  <si>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</si>
  <si>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</si>
  <si>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</si>
  <si>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</si>
  <si>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</si>
  <si>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</si>
  <si>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</si>
  <si>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</si>
  <si>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</si>
  <si>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</si>
  <si>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</si>
  <si>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</si>
  <si>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</si>
  <si>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</si>
  <si>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</si>
  <si>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</si>
  <si>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</si>
  <si>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</si>
  <si>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</si>
  <si>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</si>
  <si>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</si>
  <si>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</si>
  <si>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</si>
  <si>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</si>
  <si>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</si>
  <si>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</si>
  <si>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</si>
  <si>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</si>
  <si>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</si>
  <si>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</si>
  <si>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</si>
  <si>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</si>
  <si>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</si>
  <si>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</si>
  <si>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</si>
  <si>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</si>
  <si>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</si>
  <si>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</si>
  <si>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</si>
  <si>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</si>
  <si>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</si>
  <si>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</si>
  <si>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</si>
  <si>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</si>
  <si>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</si>
  <si>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</si>
  <si>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</si>
  <si>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</si>
  <si>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</si>
  <si>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</si>
  <si>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</si>
  <si>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</si>
  <si>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</si>
  <si>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</si>
  <si>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</si>
  <si>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</si>
  <si>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</si>
  <si>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</si>
  <si>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</si>
  <si>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</si>
  <si>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</si>
  <si>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</si>
  <si>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</si>
  <si>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</si>
  <si>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</si>
  <si>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</si>
  <si>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</si>
  <si>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</si>
  <si>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</si>
  <si>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</si>
  <si>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</si>
  <si>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</si>
  <si>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</si>
  <si>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</si>
  <si>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</si>
  <si>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</si>
  <si>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</si>
  <si>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</si>
  <si>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</si>
  <si>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</si>
  <si>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</si>
  <si>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</si>
  <si>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</si>
  <si>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</si>
  <si>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</si>
  <si>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</si>
  <si>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</si>
  <si>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</si>
  <si>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</si>
  <si>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</si>
  <si>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</si>
  <si>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</si>
  <si>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</si>
  <si>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</si>
  <si>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</si>
  <si>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</si>
  <si>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</si>
  <si>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</si>
  <si>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</si>
  <si>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</si>
  <si>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</si>
  <si>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</si>
  <si>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</si>
  <si>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</si>
  <si>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</si>
  <si>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</si>
  <si>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</si>
  <si>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</si>
  <si>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</si>
  <si>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</si>
  <si>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</si>
  <si>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</si>
  <si>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</si>
  <si>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</si>
  <si>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</si>
  <si>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</si>
  <si>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</si>
  <si>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</si>
  <si>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</si>
  <si>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</si>
  <si>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</si>
  <si>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</si>
  <si>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</si>
  <si>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</si>
  <si>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</si>
  <si>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</si>
  <si>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</si>
  <si>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</si>
  <si>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</si>
  <si>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</si>
  <si>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</si>
  <si>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</si>
  <si>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</si>
  <si>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</si>
  <si>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</si>
  <si>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</si>
  <si>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</si>
  <si>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</si>
  <si>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</si>
  <si>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</si>
  <si>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</si>
  <si>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</si>
  <si>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</si>
  <si>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</si>
  <si>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</si>
  <si>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</si>
  <si>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</si>
  <si>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</si>
  <si>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</si>
  <si>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</si>
  <si>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</si>
  <si>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</si>
  <si>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</si>
  <si>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</si>
  <si>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</si>
  <si>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</si>
  <si>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</si>
  <si>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</si>
  <si>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</si>
  <si>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</si>
  <si>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</si>
  <si>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</si>
  <si>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</si>
  <si>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</si>
  <si>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</si>
  <si>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</si>
  <si>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</si>
  <si>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</si>
  <si>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</si>
  <si>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</si>
  <si>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</si>
  <si>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</si>
  <si>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</si>
  <si>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</si>
  <si>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</si>
  <si>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</si>
  <si>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</si>
  <si>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</si>
  <si>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</si>
  <si>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</si>
  <si>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</si>
  <si>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</si>
  <si>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</si>
  <si>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</si>
  <si>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</si>
  <si>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</si>
  <si>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</si>
  <si>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</si>
  <si>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</si>
  <si>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</si>
  <si>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</si>
  <si>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</si>
  <si>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</si>
  <si>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</si>
  <si>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</si>
  <si>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</si>
  <si>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</si>
  <si>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</si>
  <si>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</si>
  <si>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</si>
  <si>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</si>
  <si>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</si>
  <si>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</si>
  <si>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</si>
  <si>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</si>
  <si>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</si>
  <si>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</si>
  <si>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</si>
  <si>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</si>
  <si>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</si>
  <si>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</si>
  <si>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</si>
  <si>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</si>
  <si>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</si>
  <si>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</si>
  <si>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</si>
  <si>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</si>
  <si>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</si>
  <si>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</si>
  <si>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</si>
  <si>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</si>
  <si>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</si>
  <si>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</si>
  <si>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</si>
  <si>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</si>
  <si>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</si>
  <si>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</si>
  <si>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</si>
  <si>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</si>
  <si>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</si>
  <si>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</si>
  <si>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</si>
  <si>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</si>
  <si>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</si>
  <si>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</si>
  <si>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</si>
  <si>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</si>
  <si>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</si>
  <si>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</si>
  <si>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</si>
  <si>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</si>
  <si>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</si>
  <si>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</si>
  <si>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</si>
  <si>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</si>
  <si>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</si>
  <si>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</si>
  <si>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</si>
  <si>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</si>
  <si>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</si>
  <si>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</si>
  <si>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</si>
  <si>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</si>
  <si>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</si>
  <si>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</si>
  <si>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</si>
  <si>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</si>
  <si>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</si>
  <si>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</si>
  <si>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</si>
  <si>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</si>
  <si>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</si>
  <si>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</si>
  <si>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</si>
  <si>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</si>
  <si>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</si>
  <si>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</si>
  <si>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</si>
  <si>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</si>
  <si>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</si>
  <si>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</si>
  <si>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</si>
  <si>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</si>
  <si>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</si>
  <si>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</si>
  <si>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</si>
  <si>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</si>
  <si>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</si>
  <si>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</si>
  <si>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</si>
  <si>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</si>
  <si>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</si>
  <si>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</si>
  <si>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</si>
  <si>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</si>
  <si>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</si>
  <si>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</si>
  <si>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</si>
  <si>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</si>
  <si>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</si>
  <si>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</si>
  <si>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</si>
  <si>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</si>
  <si>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</si>
  <si>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</si>
  <si>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</si>
  <si>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</si>
  <si>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</si>
  <si>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</si>
  <si>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</si>
  <si>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</si>
  <si>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</si>
  <si>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</si>
  <si>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</si>
  <si>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</si>
  <si>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</si>
  <si>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</si>
  <si>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</si>
  <si>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</si>
  <si>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</si>
  <si>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</si>
  <si>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</si>
  <si>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</si>
  <si>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</si>
  <si>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</si>
  <si>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</si>
  <si>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</si>
  <si>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</si>
  <si>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</si>
  <si>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</si>
  <si>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</si>
  <si>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</si>
  <si>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</si>
  <si>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</si>
  <si>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</si>
  <si>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</si>
  <si>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</si>
  <si>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</si>
  <si>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</si>
  <si>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</si>
  <si>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</si>
  <si>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</si>
  <si>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</si>
  <si>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</si>
  <si>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</si>
  <si>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</si>
  <si>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</si>
  <si>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</si>
  <si>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</si>
  <si>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</si>
  <si>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</si>
  <si>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</si>
  <si>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</si>
  <si>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</si>
  <si>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</si>
  <si>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</si>
  <si>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</si>
  <si>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</si>
  <si>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</si>
  <si>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</si>
  <si>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</si>
  <si>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</si>
  <si>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</si>
  <si>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</si>
  <si>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</si>
  <si>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</si>
  <si>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</si>
  <si>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</si>
  <si>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</si>
  <si>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</si>
  <si>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</si>
  <si>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</si>
  <si>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</si>
  <si>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</si>
  <si>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</si>
  <si>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</si>
  <si>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</si>
  <si>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</si>
  <si>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</si>
  <si>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</si>
  <si>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</si>
  <si>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</si>
  <si>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</si>
  <si>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</si>
  <si>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</si>
  <si>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</si>
  <si>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</si>
  <si>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</si>
  <si>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</si>
  <si>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</si>
  <si>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</si>
  <si>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</si>
  <si>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</si>
  <si>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</si>
  <si>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</si>
  <si>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</si>
  <si>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</si>
  <si>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</si>
  <si>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</si>
  <si>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</si>
  <si>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</si>
  <si>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</si>
  <si>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</si>
  <si>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</si>
  <si>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</si>
  <si>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</si>
  <si>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</si>
  <si>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</si>
  <si>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</si>
  <si>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</si>
  <si>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</si>
  <si>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</si>
  <si>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</si>
  <si>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</si>
  <si>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</si>
  <si>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</si>
  <si>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</si>
  <si>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</si>
  <si>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</si>
  <si>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</si>
  <si>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</si>
  <si>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</si>
  <si>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</si>
  <si>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</si>
  <si>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</si>
  <si>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</si>
  <si>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</si>
  <si>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</si>
  <si>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</si>
  <si>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</si>
  <si>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</si>
  <si>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</si>
  <si>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</si>
  <si>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</si>
  <si>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</si>
  <si>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</si>
  <si>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</si>
  <si>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</si>
  <si>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</si>
  <si>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</si>
  <si>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</si>
  <si>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</si>
  <si>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</si>
  <si>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</si>
  <si>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</si>
  <si>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</si>
  <si>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</si>
  <si>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</si>
  <si>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</si>
  <si>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</si>
  <si>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</si>
  <si>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</si>
  <si>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</si>
  <si>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</si>
  <si>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</si>
  <si>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</si>
  <si>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Continuation of the development of the protocol on identification of marine debris</t>
  </si>
  <si>
    <t>*Sardinella maderensis*</t>
  </si>
  <si>
    <t>*Ilisha africana*</t>
  </si>
  <si>
    <t>*Selene dorsalis*</t>
  </si>
  <si>
    <t>*Chloroscombrus chrysurus*</t>
  </si>
  <si>
    <t>*Decapterus rhonchus*</t>
  </si>
  <si>
    <t>*Decapterus punctatus*</t>
  </si>
  <si>
    <t>*Seriola carpenteri*</t>
  </si>
  <si>
    <t>*Auxis thazard*</t>
  </si>
  <si>
    <t>*Sarda sarda*</t>
  </si>
  <si>
    <t>*Scomber colias*</t>
  </si>
  <si>
    <t>*Sphyraena guachancho*</t>
  </si>
  <si>
    <t>*Trichiurus lepturus*</t>
  </si>
  <si>
    <t>*Lepidopus caudatus*</t>
  </si>
  <si>
    <t>*Brachydeuterus auritus*</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</si>
  <si>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</si>
  <si>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</si>
  <si>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</si>
  <si>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</si>
  <si>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</si>
  <si>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</si>
  <si>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</si>
  <si>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</si>
  <si>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</si>
  <si>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</si>
  <si>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</si>
  <si>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*Galeoides decadactylus*</t>
  </si>
  <si>
    <t>*Diaphus dumerili*</t>
  </si>
  <si>
    <t>*Sufflogobius bibarbatu*</t>
  </si>
  <si>
    <t>*Sardinella aurita*</t>
  </si>
  <si>
    <t>*Trachurus trecae*</t>
  </si>
  <si>
    <t>*Trachurus picturatus*</t>
  </si>
  <si>
    <t>*Scomber colias*</t>
  </si>
  <si>
    <t>Carangidae^[Except specimens from the *Trachurus* and *Scomber* genera]</t>
  </si>
  <si>
    <r>
      <t>*Sardinella*</t>
    </r>
    <r>
      <rPr>
        <sz val="10"/>
        <color theme="1"/>
        <rFont val="Calibri"/>
      </rPr>
      <t xml:space="preserve"> spp. </t>
    </r>
  </si>
  <si>
    <r>
      <t>*Trachurus*</t>
    </r>
    <r>
      <rPr>
        <sz val="10"/>
        <color theme="1"/>
        <rFont val="Calibri"/>
      </rPr>
      <t> spp.  </t>
    </r>
  </si>
  <si>
    <r>
      <t>*Scomber*</t>
    </r>
    <r>
      <rPr>
        <sz val="10"/>
        <color theme="1"/>
        <rFont val="Calibri"/>
      </rPr>
      <t> sp. </t>
    </r>
  </si>
  <si>
    <t>*Sardinops*</t>
  </si>
  <si>
    <t>Grand total</t>
  </si>
  <si>
    <t>Occurrence of marine debris in the regions surveyed by the R/V *Dr Fridtjof Nansen*.</t>
  </si>
  <si>
    <t>Pelagic group 1 </t>
  </si>
  <si>
    <t>Pelagic group 2 </t>
  </si>
  <si>
    <t>Mesopelagic fish</t>
  </si>
  <si>
    <t>Clupeiformes^[Except specimens from the *Sardinella* and *Engraulis* genera]</t>
  </si>
  <si>
    <t>Anthropogenic pollutants</t>
  </si>
  <si>
    <t>**YES**</t>
  </si>
  <si>
    <t>**√**</t>
  </si>
  <si>
    <t>collected and recorded at sea</t>
  </si>
  <si>
    <t>samples retained for subsequent analysis</t>
  </si>
  <si>
    <t>*Engraulis encrasicolus*^[only if species-specific biomass estimate to be provided]</t>
  </si>
  <si>
    <t>*Brachydeuterus auritus*^[only rarely used as a separated acoustic category; therefore included in PEL2]</t>
  </si>
  <si>
    <t>**YES:**</t>
  </si>
  <si>
    <t>**√:**</t>
  </si>
  <si>
    <t>janetccoetzee@gmail.com</t>
  </si>
  <si>
    <t>Fshabangu@dffe.gov.za</t>
  </si>
  <si>
    <t>SOUTH AFRICA</t>
  </si>
  <si>
    <t>ANGOLA</t>
  </si>
  <si>
    <t>missing e-mail</t>
  </si>
  <si>
    <t>Leg4.1_A+B</t>
  </si>
  <si>
    <t>Leg4.1_A</t>
  </si>
  <si>
    <t>Leg4.1_B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</si>
</sst>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40"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9"/>
      <color rgb="FFFF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9"/>
      <name val="Arial"/>
      <family val="2"/>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0"/>
      <color theme="1"/>
      <name val="Calibri"/>
    </font>
    <font>
      <sz val="11"/>
      <color theme="1"/>
      <name val="Calibri"/>
    </font>
    <font>
      <sz val="10"/>
      <color theme="1"/>
      <name val="Calibri"/>
    </font>
    <font>
      <i/>
      <sz val="10"/>
      <color theme="1"/>
      <name val="Calibri"/>
    </font>
    <font>
      <i/>
      <sz val="10"/>
      <color rgb="FF000000"/>
      <name val="Calibri"/>
    </font>
    <font>
      <i/>
      <sz val="11"/>
      <color theme="1"/>
      <name val="Calibri"/>
    </font>
    <font>
      <sz val="11"/>
      <color theme="1"/>
      <name val="Arial"/>
    </font>
    <font>
      <i/>
      <sz val="10"/>
      <color theme="1"/>
      <name val="Calibri"/>
      <family val="2"/>
    </font>
    <font>
      <i/>
      <sz val="11"/>
      <color rgb="FF444444"/>
      <name val="Calibri"/>
      <family val="2"/>
      <charset val="1"/>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sz val="12"/>
      <color theme="1"/>
      <name val="Cambria"/>
      <family val="1"/>
      <charset val="1"/>
    </font>
    <font>
      <sz val="11"/>
      <name val="Calibri"/>
      <family val="2"/>
      <charset val="1"/>
    </font>
  </fonts>
  <fills count="9">
    <fill>
      <patternFill patternType="none"/>
    </fill>
    <fill>
      <patternFill patternType="gray125"/>
    </fill>
    <fill>
      <patternFill patternType="solid">
        <fgColor rgb="FFFFFF00"/>
        <bgColor rgb="FF000000"/>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s>
  <borders count="29">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131">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7" fillId="0" borderId="0" xfId="0" applyFont="1"/>
    <xf numFmtId="0" fontId="8" fillId="0" borderId="0" xfId="0" applyFont="1"/>
    <xf numFmtId="0" fontId="9" fillId="0" borderId="0" xfId="0" applyFont="1" applyAlignment="1">
      <alignment wrapText="1"/>
    </xf>
    <xf numFmtId="0" fontId="13" fillId="0" borderId="0" xfId="0" applyFont="1"/>
    <xf numFmtId="0" fontId="15" fillId="0" borderId="5" xfId="0" applyFont="1" applyBorder="1" applyAlignment="1">
      <alignment vertical="center"/>
    </xf>
    <xf numFmtId="0" fontId="16" fillId="0" borderId="0" xfId="0" applyFont="1" applyAlignment="1">
      <alignment vertical="center"/>
    </xf>
    <xf numFmtId="0" fontId="16" fillId="0" borderId="6" xfId="0" applyFont="1" applyBorder="1" applyAlignment="1">
      <alignment vertical="center"/>
    </xf>
    <xf numFmtId="0" fontId="11" fillId="0" borderId="0" xfId="0" applyFont="1" applyAlignment="1">
      <alignment vertical="center" wrapText="1"/>
    </xf>
    <xf numFmtId="0" fontId="3" fillId="0" borderId="0" xfId="1" applyAlignment="1">
      <alignment wrapText="1"/>
    </xf>
    <xf numFmtId="0" fontId="3" fillId="0" borderId="0" xfId="1"/>
    <xf numFmtId="0" fontId="8" fillId="0" borderId="0" xfId="0" applyFont="1" applyAlignment="1">
      <alignment wrapText="1"/>
    </xf>
    <xf numFmtId="0" fontId="9" fillId="0" borderId="0" xfId="0" applyFont="1"/>
    <xf numFmtId="0" fontId="10" fillId="0" borderId="0" xfId="0" applyFont="1" applyAlignment="1">
      <alignment vertical="center" wrapText="1"/>
    </xf>
    <xf numFmtId="0" fontId="17" fillId="0" borderId="0" xfId="0" applyFont="1"/>
    <xf numFmtId="0" fontId="14" fillId="0" borderId="0" xfId="0" applyFont="1" applyAlignment="1">
      <alignment horizontal="center" vertical="center" wrapText="1"/>
    </xf>
    <xf numFmtId="0" fontId="10" fillId="0" borderId="0" xfId="0" applyFont="1" applyAlignment="1">
      <alignment horizontal="center" vertical="center" wrapText="1"/>
    </xf>
    <xf numFmtId="0" fontId="18" fillId="0" borderId="0" xfId="0" applyFont="1" applyAlignment="1">
      <alignment wrapText="1"/>
    </xf>
    <xf numFmtId="0" fontId="0" fillId="0" borderId="0" xfId="0" applyAlignment="1">
      <alignment horizontal="center" vertical="center"/>
    </xf>
    <xf numFmtId="0" fontId="0" fillId="4" borderId="0" xfId="0" applyFill="1"/>
    <xf numFmtId="0" fontId="6" fillId="0" borderId="0" xfId="0" applyFont="1"/>
    <xf numFmtId="0" fontId="3" fillId="0" borderId="0" xfId="1" applyFill="1" applyBorder="1" applyAlignment="1"/>
    <xf numFmtId="0" fontId="3" fillId="0" borderId="0" xfId="1" applyBorder="1"/>
    <xf numFmtId="0" fontId="9" fillId="0" borderId="0" xfId="0" applyFont="1" applyAlignment="1">
      <alignment horizontal="left" wrapText="1"/>
    </xf>
    <xf numFmtId="0" fontId="8" fillId="0" borderId="0" xfId="0" applyFont="1" applyAlignment="1">
      <alignment horizontal="left" wrapText="1"/>
    </xf>
    <xf numFmtId="0" fontId="8" fillId="0" borderId="0" xfId="0" applyFont="1" applyAlignment="1">
      <alignment horizontal="left"/>
    </xf>
    <xf numFmtId="0" fontId="9" fillId="0" borderId="0" xfId="0" applyFont="1" applyAlignment="1">
      <alignment horizontal="left"/>
    </xf>
    <xf numFmtId="0" fontId="0" fillId="0" borderId="0" xfId="0" applyAlignment="1">
      <alignment horizontal="left"/>
    </xf>
    <xf numFmtId="0" fontId="20" fillId="0" borderId="0" xfId="0" applyFont="1"/>
    <xf numFmtId="0" fontId="21" fillId="0" borderId="0" xfId="0" applyFont="1"/>
    <xf numFmtId="0" fontId="8" fillId="0" borderId="0" xfId="0" applyFont="1" applyAlignment="1">
      <alignment horizontal="center"/>
    </xf>
    <xf numFmtId="0" fontId="6" fillId="0" borderId="0" xfId="0" applyFont="1" applyAlignment="1">
      <alignment vertical="center"/>
    </xf>
    <xf numFmtId="0" fontId="22" fillId="0" borderId="0" xfId="0" applyFont="1"/>
    <xf numFmtId="164" fontId="9" fillId="0" borderId="0" xfId="0" quotePrefix="1" applyNumberFormat="1" applyFont="1" applyAlignment="1">
      <alignment horizontal="right" wrapText="1"/>
    </xf>
    <xf numFmtId="0" fontId="23" fillId="0" borderId="0" xfId="0" applyFont="1"/>
    <xf numFmtId="0" fontId="8" fillId="5" borderId="0" xfId="0" applyFont="1" applyFill="1"/>
    <xf numFmtId="0" fontId="14" fillId="0" borderId="8" xfId="0" applyFont="1" applyBorder="1" applyAlignment="1">
      <alignment vertical="center" wrapText="1"/>
    </xf>
    <xf numFmtId="0" fontId="14" fillId="0" borderId="9" xfId="0" applyFont="1" applyBorder="1" applyAlignment="1">
      <alignment horizontal="center" vertical="center" wrapText="1"/>
    </xf>
    <xf numFmtId="0" fontId="14" fillId="0" borderId="10" xfId="0" applyFont="1" applyBorder="1" applyAlignment="1">
      <alignment horizontal="center" vertical="center" wrapText="1"/>
    </xf>
    <xf numFmtId="0" fontId="12" fillId="0" borderId="11" xfId="0" applyFont="1" applyBorder="1" applyAlignment="1">
      <alignment vertical="center" wrapText="1"/>
    </xf>
    <xf numFmtId="0" fontId="10" fillId="6" borderId="0" xfId="0" applyFont="1" applyFill="1" applyAlignment="1">
      <alignment horizontal="center" vertical="center" wrapText="1"/>
    </xf>
    <xf numFmtId="0" fontId="10" fillId="7" borderId="0" xfId="0" applyFont="1" applyFill="1" applyAlignment="1">
      <alignment horizontal="center" vertical="center" wrapText="1"/>
    </xf>
    <xf numFmtId="0" fontId="0" fillId="0" borderId="12" xfId="0" applyBorder="1"/>
    <xf numFmtId="0" fontId="24" fillId="0" borderId="0" xfId="0" applyFont="1" applyAlignment="1">
      <alignment horizontal="center" vertical="center" wrapText="1"/>
    </xf>
    <xf numFmtId="0" fontId="10" fillId="0" borderId="11" xfId="0" applyFont="1" applyBorder="1" applyAlignment="1">
      <alignment vertical="center" wrapText="1"/>
    </xf>
    <xf numFmtId="0" fontId="10" fillId="0" borderId="13" xfId="0" applyFont="1" applyBorder="1" applyAlignment="1">
      <alignment vertical="center" wrapText="1"/>
    </xf>
    <xf numFmtId="0" fontId="14" fillId="0" borderId="14" xfId="0" applyFont="1" applyBorder="1" applyAlignment="1">
      <alignment horizontal="center" vertical="center" wrapText="1"/>
    </xf>
    <xf numFmtId="0" fontId="0" fillId="0" borderId="14" xfId="0" applyBorder="1"/>
    <xf numFmtId="0" fontId="0" fillId="0" borderId="15" xfId="0" applyBorder="1"/>
    <xf numFmtId="0" fontId="25" fillId="0" borderId="0" xfId="0" applyFont="1" applyAlignment="1">
      <alignment vertical="center" wrapText="1"/>
    </xf>
    <xf numFmtId="0" fontId="26" fillId="0" borderId="0" xfId="0" applyFont="1"/>
    <xf numFmtId="0" fontId="29" fillId="0" borderId="16" xfId="0" applyFont="1" applyBorder="1" applyAlignment="1">
      <alignment vertical="center" wrapText="1"/>
    </xf>
    <xf numFmtId="0" fontId="29" fillId="0" borderId="0" xfId="0" applyFont="1" applyAlignment="1">
      <alignment vertical="center" wrapText="1"/>
    </xf>
    <xf numFmtId="0" fontId="27" fillId="0" borderId="16" xfId="0" applyFont="1" applyBorder="1" applyAlignment="1">
      <alignment vertical="center" wrapText="1"/>
    </xf>
    <xf numFmtId="0" fontId="28" fillId="0" borderId="16" xfId="0" applyFont="1" applyBorder="1" applyAlignment="1">
      <alignment vertical="center" wrapText="1"/>
    </xf>
    <xf numFmtId="0" fontId="27" fillId="3" borderId="16" xfId="0" applyFont="1" applyFill="1" applyBorder="1"/>
    <xf numFmtId="0" fontId="28" fillId="0" borderId="16" xfId="0" applyFont="1" applyBorder="1"/>
    <xf numFmtId="0" fontId="30" fillId="0" borderId="0" xfId="0" applyFont="1"/>
    <xf numFmtId="0" fontId="31" fillId="0" borderId="0" xfId="0" applyFont="1"/>
    <xf numFmtId="0" fontId="27" fillId="0" borderId="16" xfId="0" applyFont="1" applyBorder="1" applyAlignment="1">
      <alignment vertical="center"/>
    </xf>
    <xf numFmtId="0" fontId="27" fillId="0" borderId="0" xfId="0" applyFont="1" applyAlignment="1">
      <alignment vertical="center" wrapText="1"/>
    </xf>
    <xf numFmtId="0" fontId="27" fillId="0" borderId="0" xfId="0" applyFont="1" applyAlignment="1">
      <alignment vertical="center"/>
    </xf>
    <xf numFmtId="0" fontId="32" fillId="0" borderId="0" xfId="0" applyFont="1"/>
    <xf numFmtId="0" fontId="27" fillId="3" borderId="0" xfId="0" applyFont="1" applyFill="1" applyAlignment="1">
      <alignment vertical="center" wrapText="1"/>
    </xf>
    <xf numFmtId="0" fontId="28" fillId="0" borderId="0" xfId="0" applyFont="1"/>
    <xf numFmtId="0" fontId="32" fillId="0" borderId="16" xfId="0" applyFont="1" applyBorder="1"/>
    <xf numFmtId="0" fontId="27" fillId="0" borderId="16" xfId="0" applyFont="1" applyBorder="1"/>
    <xf numFmtId="0" fontId="28" fillId="0" borderId="17" xfId="0" applyFont="1" applyBorder="1"/>
    <xf numFmtId="0" fontId="27" fillId="0" borderId="0" xfId="0" applyFont="1"/>
    <xf numFmtId="0" fontId="27" fillId="3" borderId="17" xfId="0" applyFont="1" applyFill="1" applyBorder="1"/>
    <xf numFmtId="0" fontId="27" fillId="0" borderId="17" xfId="0" applyFont="1" applyBorder="1"/>
    <xf numFmtId="0" fontId="32" fillId="0" borderId="17" xfId="0" applyFont="1" applyBorder="1"/>
    <xf numFmtId="0" fontId="27" fillId="3" borderId="0" xfId="0" applyFont="1" applyFill="1"/>
    <xf numFmtId="0" fontId="33" fillId="0" borderId="0" xfId="0" applyFont="1"/>
    <xf numFmtId="0" fontId="27" fillId="0" borderId="14" xfId="0" applyFont="1" applyBorder="1"/>
    <xf numFmtId="0" fontId="28" fillId="0" borderId="14" xfId="0" applyFont="1" applyBorder="1"/>
    <xf numFmtId="49" fontId="34" fillId="0" borderId="0" xfId="0" applyNumberFormat="1" applyFont="1"/>
    <xf numFmtId="49" fontId="35" fillId="0" borderId="0" xfId="0" applyNumberFormat="1" applyFont="1"/>
    <xf numFmtId="49" fontId="35" fillId="0" borderId="0" xfId="0" quotePrefix="1" applyNumberFormat="1" applyFont="1"/>
    <xf numFmtId="0" fontId="0" fillId="4" borderId="18" xfId="0" applyFill="1" applyBorder="1"/>
    <xf numFmtId="0" fontId="0" fillId="4" borderId="16" xfId="0" applyFill="1" applyBorder="1"/>
    <xf numFmtId="0" fontId="0" fillId="4" borderId="19" xfId="0" applyFill="1" applyBorder="1"/>
    <xf numFmtId="0" fontId="0" fillId="4" borderId="20" xfId="0" applyFill="1" applyBorder="1"/>
    <xf numFmtId="0" fontId="36" fillId="4" borderId="21" xfId="0" applyFont="1" applyFill="1" applyBorder="1"/>
    <xf numFmtId="0" fontId="0" fillId="4" borderId="22" xfId="0" applyFill="1" applyBorder="1"/>
    <xf numFmtId="0" fontId="36" fillId="4" borderId="23" xfId="0" applyFont="1" applyFill="1" applyBorder="1"/>
    <xf numFmtId="0" fontId="0" fillId="4" borderId="24" xfId="0" applyFill="1" applyBorder="1"/>
    <xf numFmtId="0" fontId="0" fillId="4" borderId="21" xfId="0" applyFill="1" applyBorder="1"/>
    <xf numFmtId="0" fontId="0" fillId="4" borderId="25" xfId="0" applyFill="1" applyBorder="1"/>
    <xf numFmtId="0" fontId="0" fillId="4" borderId="26" xfId="0" applyFill="1" applyBorder="1"/>
    <xf numFmtId="0" fontId="0" fillId="4" borderId="27" xfId="0" applyFill="1" applyBorder="1"/>
    <xf numFmtId="0" fontId="0" fillId="4" borderId="7" xfId="0" applyFill="1" applyBorder="1"/>
    <xf numFmtId="49" fontId="2" fillId="0" borderId="3" xfId="0" applyNumberFormat="1" applyFont="1" applyBorder="1" applyAlignment="1">
      <alignment vertical="center" wrapText="1"/>
    </xf>
    <xf numFmtId="0" fontId="8" fillId="3" borderId="0" xfId="0" applyFont="1" applyFill="1"/>
    <xf numFmtId="164" fontId="0" fillId="0" borderId="0" xfId="0" quotePrefix="1" applyNumberFormat="1" applyAlignment="1">
      <alignment horizontal="right"/>
    </xf>
    <xf numFmtId="0" fontId="7" fillId="0" borderId="0" xfId="0" applyFont="1" applyProtection="1">
      <protection locked="0"/>
    </xf>
    <xf numFmtId="0" fontId="1" fillId="0" borderId="0" xfId="0" applyFont="1" applyProtection="1">
      <protection locked="0"/>
    </xf>
    <xf numFmtId="0" fontId="8" fillId="0" borderId="0" xfId="0" applyFont="1" applyProtection="1">
      <protection locked="0"/>
    </xf>
    <xf numFmtId="0" fontId="0" fillId="8" borderId="0" xfId="0" applyFill="1" applyProtection="1">
      <protection locked="0"/>
    </xf>
    <xf numFmtId="0" fontId="4" fillId="0" borderId="18" xfId="0" applyFont="1" applyBorder="1" applyAlignment="1">
      <alignment horizontal="left" vertical="center"/>
    </xf>
    <xf numFmtId="0" fontId="38" fillId="0" borderId="18" xfId="0" applyFont="1" applyBorder="1" applyAlignment="1">
      <alignment vertical="top" wrapText="1"/>
    </xf>
    <xf numFmtId="0" fontId="4" fillId="0" borderId="18" xfId="0" applyFont="1" applyBorder="1" applyAlignment="1">
      <alignment vertical="center" wrapText="1"/>
    </xf>
    <xf numFmtId="0" fontId="0" fillId="0" borderId="18" xfId="0" applyBorder="1"/>
    <xf numFmtId="0" fontId="8" fillId="0" borderId="18" xfId="0" applyFont="1" applyBorder="1" applyAlignment="1">
      <alignment vertical="center" wrapText="1"/>
    </xf>
    <xf numFmtId="0" fontId="4" fillId="0" borderId="18" xfId="0" applyFont="1" applyBorder="1" applyAlignment="1">
      <alignment vertical="center"/>
    </xf>
    <xf numFmtId="0" fontId="4" fillId="0" borderId="18" xfId="0" applyFont="1" applyBorder="1" applyAlignment="1">
      <alignment vertical="top" wrapText="1"/>
    </xf>
    <xf numFmtId="0" fontId="19" fillId="0" borderId="18" xfId="0" applyFont="1" applyBorder="1" applyAlignment="1">
      <alignment vertical="center" wrapText="1"/>
    </xf>
    <xf numFmtId="0" fontId="5" fillId="0" borderId="18" xfId="0" applyFont="1" applyBorder="1" applyAlignment="1">
      <alignment vertical="center" wrapText="1"/>
    </xf>
    <xf numFmtId="0" fontId="0" fillId="0" borderId="19"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4" fillId="0" borderId="26" xfId="0" applyFont="1" applyBorder="1" applyAlignment="1">
      <alignment horizontal="left" vertical="center"/>
    </xf>
    <xf numFmtId="0" fontId="38" fillId="0" borderId="26" xfId="0" applyFont="1" applyBorder="1" applyAlignment="1">
      <alignment vertical="top" wrapText="1"/>
    </xf>
    <xf numFmtId="0" fontId="4" fillId="0" borderId="26" xfId="0" applyFont="1" applyBorder="1" applyAlignment="1">
      <alignment vertical="center" wrapText="1"/>
    </xf>
    <xf numFmtId="0" fontId="4" fillId="0" borderId="26" xfId="0" applyFont="1" applyBorder="1" applyAlignment="1">
      <alignment horizontal="center" vertical="center" wrapText="1"/>
    </xf>
    <xf numFmtId="0" fontId="8" fillId="0" borderId="26" xfId="0" applyFont="1" applyBorder="1" applyAlignment="1">
      <alignment vertical="center" wrapText="1"/>
    </xf>
    <xf numFmtId="0" fontId="0" fillId="0" borderId="0" xfId="0" applyFill="1"/>
    <xf numFmtId="0" fontId="1" fillId="5" borderId="0" xfId="0" applyFont="1" applyFill="1"/>
    <xf numFmtId="0" fontId="24" fillId="0" borderId="0" xfId="0" applyFont="1" applyAlignment="1">
      <alignment vertical="top"/>
    </xf>
    <xf numFmtId="0" fontId="4" fillId="0" borderId="18" xfId="0" applyFont="1" applyBorder="1" applyAlignment="1">
      <alignment vertical="center" wrapText="1"/>
    </xf>
    <xf numFmtId="0" fontId="28" fillId="0" borderId="16" xfId="0" applyFont="1" applyBorder="1" applyAlignment="1">
      <alignment vertical="center" wrapText="1"/>
    </xf>
    <xf numFmtId="0" fontId="28" fillId="0" borderId="0" xfId="0" applyFont="1" applyAlignment="1">
      <alignment vertical="center" wrapText="1"/>
    </xf>
    <xf numFmtId="0" fontId="27" fillId="0" borderId="16" xfId="0" applyFont="1" applyBorder="1" applyAlignment="1">
      <alignment vertical="center" wrapText="1"/>
    </xf>
    <xf numFmtId="0" fontId="27" fillId="0" borderId="0" xfId="0" applyFont="1" applyAlignment="1">
      <alignment vertical="center" wrapText="1"/>
    </xf>
    <xf numFmtId="0" fontId="27" fillId="3" borderId="16" xfId="0" applyFont="1" applyFill="1" applyBorder="1" applyAlignment="1">
      <alignment vertical="center" wrapText="1"/>
    </xf>
    <xf numFmtId="0" fontId="27" fillId="3" borderId="0" xfId="0" applyFont="1" applyFill="1" applyAlignment="1">
      <alignment vertical="center" wrapText="1"/>
    </xf>
    <xf numFmtId="0" fontId="8" fillId="0" borderId="0" xfId="0" applyFont="1" applyAlignment="1">
      <alignment horizontal="center"/>
    </xf>
    <xf numFmtId="0" fontId="39"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jostein.solhaug@imr.no" TargetMode="External"/><Relationship Id="rId2" Type="http://schemas.openxmlformats.org/officeDocument/2006/relationships/hyperlink" Target="mailto:janetccoetzee@gmail.com" TargetMode="External"/><Relationship Id="rId1" Type="http://schemas.openxmlformats.org/officeDocument/2006/relationships/hyperlink" Target="mailto:eriko@hi.no" TargetMode="External"/><Relationship Id="rId4" Type="http://schemas.openxmlformats.org/officeDocument/2006/relationships/hyperlink" Target="mailto:Fshabangu@dffe.gov.za"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15" sqref="B15"/>
    </sheetView>
  </sheetViews>
  <sheetFormatPr defaultColWidth="8.81640625" defaultRowHeight="14.5" x14ac:dyDescent="0.35"/>
  <cols>
    <col min="1" max="1" width="24.81640625" bestFit="1" customWidth="1"/>
    <col min="2" max="2" width="235.453125" bestFit="1" customWidth="1"/>
  </cols>
  <sheetData>
    <row r="1" spans="1:2" x14ac:dyDescent="0.35">
      <c r="A1" s="4" t="s">
        <v>0</v>
      </c>
      <c r="B1" s="4" t="s">
        <v>1</v>
      </c>
    </row>
    <row r="2" spans="1:2" x14ac:dyDescent="0.35">
      <c r="A2" s="5" t="s">
        <v>2</v>
      </c>
      <c r="B2" s="5" t="s">
        <v>3</v>
      </c>
    </row>
    <row r="3" spans="1:2" x14ac:dyDescent="0.35">
      <c r="A3" s="5" t="s">
        <v>4</v>
      </c>
      <c r="B3" s="5" t="s">
        <v>5</v>
      </c>
    </row>
    <row r="4" spans="1:2" ht="15.5" x14ac:dyDescent="0.35">
      <c r="A4" s="7" t="s">
        <v>6</v>
      </c>
      <c r="B4" s="5" t="s">
        <v>7</v>
      </c>
    </row>
    <row r="5" spans="1:2" ht="15.5" x14ac:dyDescent="0.35">
      <c r="A5" s="5" t="s">
        <v>8</v>
      </c>
      <c r="B5" s="7" t="s">
        <v>9</v>
      </c>
    </row>
    <row r="6" spans="1:2" x14ac:dyDescent="0.35">
      <c r="A6" s="5" t="s">
        <v>10</v>
      </c>
      <c r="B6" s="5" t="s">
        <v>11</v>
      </c>
    </row>
    <row r="7" spans="1:2" x14ac:dyDescent="0.35">
      <c r="A7" s="5" t="s">
        <v>12</v>
      </c>
      <c r="B7" s="96" t="s">
        <v>13</v>
      </c>
    </row>
    <row r="8" spans="1:2" ht="15.5" x14ac:dyDescent="0.35">
      <c r="A8" s="7" t="s">
        <v>14</v>
      </c>
      <c r="B8" s="5" t="s">
        <v>15</v>
      </c>
    </row>
    <row r="9" spans="1:2" x14ac:dyDescent="0.35">
      <c r="A9" s="5" t="s">
        <v>16</v>
      </c>
      <c r="B9" s="5" t="s">
        <v>17</v>
      </c>
    </row>
    <row r="10" spans="1:2" x14ac:dyDescent="0.35">
      <c r="A10" t="s">
        <v>18</v>
      </c>
      <c r="B10" s="5" t="s">
        <v>19</v>
      </c>
    </row>
    <row r="11" spans="1:2" ht="15.5" x14ac:dyDescent="0.35">
      <c r="A11" s="7" t="s">
        <v>20</v>
      </c>
      <c r="B11" s="5" t="s">
        <v>21</v>
      </c>
    </row>
    <row r="12" spans="1:2" x14ac:dyDescent="0.35">
      <c r="A12" t="s">
        <v>22</v>
      </c>
      <c r="B12" t="s">
        <v>23</v>
      </c>
    </row>
    <row r="13" spans="1:2" x14ac:dyDescent="0.35">
      <c r="A13" t="s">
        <v>24</v>
      </c>
      <c r="B13" t="s">
        <v>25</v>
      </c>
    </row>
    <row r="14" spans="1:2" x14ac:dyDescent="0.35">
      <c r="A14" t="s">
        <v>26</v>
      </c>
      <c r="B14" t="s">
        <v>27</v>
      </c>
    </row>
    <row r="15" spans="1:2" x14ac:dyDescent="0.35">
      <c r="A15" t="s">
        <v>28</v>
      </c>
      <c r="B15" t="s">
        <v>29</v>
      </c>
    </row>
    <row r="16" spans="1:2" x14ac:dyDescent="0.35">
      <c r="A16" t="s">
        <v>30</v>
      </c>
      <c r="B16" t="s">
        <v>31</v>
      </c>
    </row>
    <row r="17" spans="1:2" x14ac:dyDescent="0.35">
      <c r="A17" t="s">
        <v>32</v>
      </c>
      <c r="B17" t="s">
        <v>33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1640625" defaultRowHeight="14.5" x14ac:dyDescent="0.35"/>
  <cols>
    <col min="1" max="1" width="27.26953125" bestFit="1" customWidth="1"/>
    <col min="2" max="2" width="57.26953125" bestFit="1" customWidth="1"/>
  </cols>
  <sheetData>
    <row r="1" spans="1:2" x14ac:dyDescent="0.35">
      <c r="A1" s="1" t="s">
        <v>34</v>
      </c>
      <c r="B1" s="1" t="s">
        <v>1</v>
      </c>
    </row>
    <row r="2" spans="1:2" x14ac:dyDescent="0.35">
      <c r="A2" t="s">
        <v>35</v>
      </c>
      <c r="B2" s="5" t="s">
        <v>1388</v>
      </c>
    </row>
    <row r="3" spans="1:2" x14ac:dyDescent="0.35">
      <c r="A3" t="s">
        <v>36</v>
      </c>
      <c r="B3" s="5" t="s">
        <v>37</v>
      </c>
    </row>
    <row r="4" spans="1:2" x14ac:dyDescent="0.35">
      <c r="A4" s="119" t="s">
        <v>38</v>
      </c>
      <c r="B4" s="5" t="s">
        <v>39</v>
      </c>
    </row>
    <row r="5" spans="1:2" x14ac:dyDescent="0.35">
      <c r="A5" t="s">
        <v>1383</v>
      </c>
      <c r="B5" s="5" t="s">
        <v>1385</v>
      </c>
    </row>
    <row r="6" spans="1:2" x14ac:dyDescent="0.35">
      <c r="A6" t="s">
        <v>1384</v>
      </c>
      <c r="B6" s="5" t="s">
        <v>1386</v>
      </c>
    </row>
    <row r="7" spans="1:2" x14ac:dyDescent="0.35">
      <c r="A7" t="s">
        <v>40</v>
      </c>
      <c r="B7" s="5" t="s">
        <v>1387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C5" sqref="C5"/>
    </sheetView>
  </sheetViews>
  <sheetFormatPr defaultColWidth="8.81640625" defaultRowHeight="14.5" x14ac:dyDescent="0.35"/>
  <cols>
    <col min="1" max="1" width="27.26953125" bestFit="1" customWidth="1"/>
    <col min="2" max="2" width="15.453125" bestFit="1" customWidth="1"/>
    <col min="3" max="4" width="10.7265625" bestFit="1" customWidth="1"/>
    <col min="5" max="5" width="16.453125" bestFit="1" customWidth="1"/>
    <col min="6" max="6" width="13.453125" bestFit="1" customWidth="1"/>
  </cols>
  <sheetData>
    <row r="1" spans="1:6" x14ac:dyDescent="0.35">
      <c r="A1" s="4" t="s">
        <v>57</v>
      </c>
      <c r="B1" s="4" t="s">
        <v>58</v>
      </c>
      <c r="C1" s="4" t="s">
        <v>59</v>
      </c>
      <c r="D1" s="4" t="s">
        <v>60</v>
      </c>
      <c r="E1" s="4" t="s">
        <v>61</v>
      </c>
      <c r="F1" s="4" t="s">
        <v>62</v>
      </c>
    </row>
    <row r="2" spans="1:6" x14ac:dyDescent="0.35">
      <c r="A2" t="s">
        <v>63</v>
      </c>
      <c r="B2" s="6">
        <v>32</v>
      </c>
      <c r="C2" s="36" t="s">
        <v>64</v>
      </c>
      <c r="D2" s="36" t="s">
        <v>65</v>
      </c>
      <c r="E2" s="34" t="s">
        <v>66</v>
      </c>
      <c r="F2" s="34" t="s">
        <v>67</v>
      </c>
    </row>
    <row r="3" spans="1:6" x14ac:dyDescent="0.35">
      <c r="A3" s="35" t="s">
        <v>68</v>
      </c>
      <c r="B3" s="6">
        <v>16</v>
      </c>
      <c r="C3" s="36" t="s">
        <v>64</v>
      </c>
      <c r="D3" s="36" t="s">
        <v>69</v>
      </c>
      <c r="E3" s="34" t="s">
        <v>67</v>
      </c>
      <c r="F3" s="34" t="s">
        <v>67</v>
      </c>
    </row>
    <row r="4" spans="1:6" x14ac:dyDescent="0.35">
      <c r="A4" s="35" t="s">
        <v>70</v>
      </c>
      <c r="B4">
        <v>16</v>
      </c>
      <c r="C4" s="36" t="s">
        <v>69</v>
      </c>
      <c r="D4" s="97" t="s">
        <v>65</v>
      </c>
      <c r="E4" t="s">
        <v>67</v>
      </c>
      <c r="F4" t="s">
        <v>67</v>
      </c>
    </row>
  </sheetData>
  <phoneticPr fontId="37"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election activeCell="B6" sqref="B6"/>
    </sheetView>
  </sheetViews>
  <sheetFormatPr defaultColWidth="8.81640625" defaultRowHeight="14.5" x14ac:dyDescent="0.35"/>
  <cols>
    <col min="1" max="1" width="15" customWidth="1"/>
    <col min="2" max="3" width="50.453125" customWidth="1"/>
  </cols>
  <sheetData>
    <row r="1" spans="1:3" x14ac:dyDescent="0.35">
      <c r="A1" s="11" t="s">
        <v>41</v>
      </c>
      <c r="B1" s="11" t="s">
        <v>42</v>
      </c>
      <c r="C1" s="11" t="s">
        <v>43</v>
      </c>
    </row>
    <row r="2" spans="1:3" x14ac:dyDescent="0.35">
      <c r="A2" s="16" t="s">
        <v>44</v>
      </c>
      <c r="B2" s="16" t="s">
        <v>45</v>
      </c>
      <c r="C2" s="16" t="s">
        <v>46</v>
      </c>
    </row>
    <row r="3" spans="1:3" x14ac:dyDescent="0.35">
      <c r="A3" s="16" t="s">
        <v>47</v>
      </c>
      <c r="B3" s="16" t="s">
        <v>48</v>
      </c>
      <c r="C3" s="16" t="s">
        <v>49</v>
      </c>
    </row>
    <row r="4" spans="1:3" x14ac:dyDescent="0.35">
      <c r="A4" s="16" t="s">
        <v>50</v>
      </c>
      <c r="B4" s="16" t="s">
        <v>1389</v>
      </c>
      <c r="C4" s="16" t="s">
        <v>51</v>
      </c>
    </row>
    <row r="5" spans="1:3" ht="26" x14ac:dyDescent="0.35">
      <c r="A5" s="16" t="s">
        <v>52</v>
      </c>
      <c r="B5" s="16" t="s">
        <v>1429</v>
      </c>
      <c r="C5" s="16" t="s">
        <v>53</v>
      </c>
    </row>
    <row r="6" spans="1:3" ht="26" x14ac:dyDescent="0.35">
      <c r="A6" s="16" t="s">
        <v>52</v>
      </c>
      <c r="B6" s="16" t="s">
        <v>1390</v>
      </c>
      <c r="C6" s="16" t="s">
        <v>53</v>
      </c>
    </row>
    <row r="7" spans="1:3" x14ac:dyDescent="0.35">
      <c r="A7" s="17" t="s">
        <v>54</v>
      </c>
      <c r="B7" s="17" t="s">
        <v>55</v>
      </c>
      <c r="C7" s="17" t="s">
        <v>56</v>
      </c>
    </row>
    <row r="8" spans="1:3" x14ac:dyDescent="0.35">
      <c r="A8" s="16"/>
      <c r="B8" s="16"/>
      <c r="C8" s="16"/>
    </row>
    <row r="9" spans="1:3" x14ac:dyDescent="0.35">
      <c r="A9" s="16"/>
      <c r="B9" s="16"/>
      <c r="C9" s="16"/>
    </row>
    <row r="10" spans="1:3" x14ac:dyDescent="0.35">
      <c r="A10" s="16"/>
      <c r="B10" s="16"/>
      <c r="C10" s="16"/>
    </row>
    <row r="11" spans="1:3" x14ac:dyDescent="0.35">
      <c r="A11" s="16"/>
      <c r="B11" s="16"/>
      <c r="C11" s="16"/>
    </row>
    <row r="12" spans="1:3" x14ac:dyDescent="0.35">
      <c r="A12" s="16"/>
      <c r="B12" s="16"/>
      <c r="C12" s="16"/>
    </row>
    <row r="13" spans="1:3" x14ac:dyDescent="0.35">
      <c r="A13" s="16"/>
      <c r="B13" s="16"/>
      <c r="C13" s="16"/>
    </row>
    <row r="14" spans="1:3" x14ac:dyDescent="0.35">
      <c r="A14" s="17"/>
      <c r="B14" s="17"/>
      <c r="C14"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
  <sheetViews>
    <sheetView workbookViewId="0">
      <selection activeCell="C22" sqref="C22"/>
    </sheetView>
  </sheetViews>
  <sheetFormatPr defaultColWidth="8.81640625" defaultRowHeight="14.5" x14ac:dyDescent="0.35"/>
  <cols>
    <col min="1" max="1" width="6.81640625" bestFit="1" customWidth="1"/>
    <col min="2" max="2" width="26.7265625" bestFit="1" customWidth="1"/>
    <col min="3" max="3" width="14.54296875" bestFit="1" customWidth="1"/>
    <col min="4" max="4" width="14.81640625" bestFit="1" customWidth="1"/>
    <col min="5" max="5" width="19.1796875" bestFit="1" customWidth="1"/>
    <col min="6" max="6" width="25.26953125" customWidth="1"/>
    <col min="7" max="7" width="7.26953125" bestFit="1" customWidth="1"/>
    <col min="8" max="8" width="12.26953125" bestFit="1" customWidth="1"/>
    <col min="9" max="9" width="20.54296875" bestFit="1" customWidth="1"/>
    <col min="10" max="11" width="23.7265625" bestFit="1" customWidth="1"/>
    <col min="12" max="12" width="18.1796875" customWidth="1"/>
  </cols>
  <sheetData>
    <row r="1" spans="1:13" ht="25.9" customHeight="1" x14ac:dyDescent="0.35">
      <c r="A1" s="98" t="s">
        <v>71</v>
      </c>
      <c r="B1" s="98" t="s">
        <v>72</v>
      </c>
      <c r="C1" s="98" t="s">
        <v>73</v>
      </c>
      <c r="D1" s="98" t="s">
        <v>74</v>
      </c>
      <c r="E1" s="98" t="s">
        <v>75</v>
      </c>
      <c r="F1" s="98" t="s">
        <v>76</v>
      </c>
      <c r="G1" s="98" t="s">
        <v>77</v>
      </c>
      <c r="H1" s="98" t="s">
        <v>78</v>
      </c>
      <c r="I1" s="98" t="s">
        <v>79</v>
      </c>
      <c r="J1" s="98" t="s">
        <v>80</v>
      </c>
      <c r="K1" s="98" t="s">
        <v>81</v>
      </c>
      <c r="L1" s="99" t="s">
        <v>82</v>
      </c>
      <c r="M1" s="98" t="s">
        <v>1428</v>
      </c>
    </row>
    <row r="2" spans="1:13" x14ac:dyDescent="0.35">
      <c r="A2" s="100" t="s">
        <v>83</v>
      </c>
      <c r="B2" s="100" t="s">
        <v>84</v>
      </c>
      <c r="C2" s="38">
        <v>1</v>
      </c>
      <c r="D2" s="38">
        <v>1</v>
      </c>
      <c r="E2" s="100">
        <v>1</v>
      </c>
      <c r="F2" s="101" t="str">
        <f t="shared" ref="F2:F10" si="0">IF(D2&gt;0, IF(D2-E2=0,"",D2-E2), IF(E2&gt;0,E2,""))</f>
        <v/>
      </c>
      <c r="G2" s="100"/>
      <c r="H2" s="100"/>
      <c r="I2" s="100"/>
      <c r="J2" s="100"/>
      <c r="K2" s="101" t="str">
        <f t="shared" ref="K2:K10" si="1">IF(SUM(G2:J2)=0,"",SUM(G2:J2))</f>
        <v/>
      </c>
      <c r="L2" s="101" t="str">
        <f t="shared" ref="L2:L10" si="2">IF(C2=D2,"",IF(K2="", "", C2-(D2+K2)))</f>
        <v/>
      </c>
    </row>
    <row r="3" spans="1:13" x14ac:dyDescent="0.35">
      <c r="A3" s="100" t="s">
        <v>83</v>
      </c>
      <c r="B3" s="100" t="s">
        <v>85</v>
      </c>
      <c r="C3" s="38">
        <v>1</v>
      </c>
      <c r="D3" s="38">
        <v>1</v>
      </c>
      <c r="E3" s="100"/>
      <c r="F3" s="101">
        <f t="shared" si="0"/>
        <v>1</v>
      </c>
      <c r="G3" s="100"/>
      <c r="H3" s="100"/>
      <c r="I3" s="100">
        <v>1</v>
      </c>
      <c r="J3" s="100"/>
      <c r="K3" s="101">
        <f t="shared" si="1"/>
        <v>1</v>
      </c>
      <c r="L3" s="101" t="str">
        <f t="shared" si="2"/>
        <v/>
      </c>
    </row>
    <row r="4" spans="1:13" x14ac:dyDescent="0.35">
      <c r="A4" s="100" t="s">
        <v>83</v>
      </c>
      <c r="B4" s="100" t="s">
        <v>86</v>
      </c>
      <c r="C4" s="38"/>
      <c r="D4" s="38"/>
      <c r="E4" s="100"/>
      <c r="F4" s="101" t="str">
        <f t="shared" si="0"/>
        <v/>
      </c>
      <c r="G4" s="100"/>
      <c r="H4" s="100"/>
      <c r="I4" s="100"/>
      <c r="J4" s="100"/>
      <c r="K4" s="101" t="str">
        <f t="shared" si="1"/>
        <v/>
      </c>
      <c r="L4" s="101" t="str">
        <f t="shared" si="2"/>
        <v/>
      </c>
    </row>
    <row r="5" spans="1:13" x14ac:dyDescent="0.35">
      <c r="A5" s="100" t="s">
        <v>83</v>
      </c>
      <c r="B5" s="100" t="s">
        <v>87</v>
      </c>
      <c r="C5" s="38"/>
      <c r="D5" s="38"/>
      <c r="E5" s="100"/>
      <c r="F5" s="101" t="str">
        <f t="shared" si="0"/>
        <v/>
      </c>
      <c r="G5" s="100"/>
      <c r="H5" s="100"/>
      <c r="I5" s="100"/>
      <c r="J5" s="100"/>
      <c r="K5" s="101" t="str">
        <f t="shared" si="1"/>
        <v/>
      </c>
      <c r="L5" s="101" t="str">
        <f t="shared" si="2"/>
        <v/>
      </c>
    </row>
    <row r="6" spans="1:13" x14ac:dyDescent="0.35">
      <c r="A6" s="100" t="s">
        <v>83</v>
      </c>
      <c r="B6" s="100" t="s">
        <v>88</v>
      </c>
      <c r="C6" s="38"/>
      <c r="D6" s="38"/>
      <c r="E6" s="100"/>
      <c r="F6" s="101" t="str">
        <f t="shared" si="0"/>
        <v/>
      </c>
      <c r="G6" s="100"/>
      <c r="H6" s="100"/>
      <c r="I6" s="100"/>
      <c r="J6" s="100"/>
      <c r="K6" s="101" t="str">
        <f t="shared" si="1"/>
        <v/>
      </c>
      <c r="L6" s="101" t="str">
        <f t="shared" si="2"/>
        <v/>
      </c>
    </row>
    <row r="7" spans="1:13" x14ac:dyDescent="0.35">
      <c r="A7" s="100" t="s">
        <v>83</v>
      </c>
      <c r="B7" s="100" t="s">
        <v>89</v>
      </c>
      <c r="C7" s="38">
        <v>10</v>
      </c>
      <c r="D7" s="38">
        <v>2</v>
      </c>
      <c r="E7" s="100">
        <v>2</v>
      </c>
      <c r="F7" s="101" t="str">
        <f t="shared" si="0"/>
        <v/>
      </c>
      <c r="G7" s="100">
        <v>1</v>
      </c>
      <c r="H7" s="100">
        <v>1</v>
      </c>
      <c r="I7" s="100">
        <v>6</v>
      </c>
      <c r="J7" s="100"/>
      <c r="K7" s="101">
        <f t="shared" si="1"/>
        <v>8</v>
      </c>
      <c r="L7" s="101">
        <f t="shared" si="2"/>
        <v>0</v>
      </c>
    </row>
    <row r="8" spans="1:13" x14ac:dyDescent="0.35">
      <c r="A8" s="100" t="s">
        <v>83</v>
      </c>
      <c r="B8" s="100" t="s">
        <v>90</v>
      </c>
      <c r="C8" s="38"/>
      <c r="D8" s="38"/>
      <c r="E8" s="100"/>
      <c r="F8" s="101" t="str">
        <f t="shared" si="0"/>
        <v/>
      </c>
      <c r="G8" s="100"/>
      <c r="H8" s="100"/>
      <c r="I8" s="100"/>
      <c r="J8" s="100"/>
      <c r="K8" s="101" t="str">
        <f t="shared" si="1"/>
        <v/>
      </c>
      <c r="L8" s="101" t="str">
        <f t="shared" si="2"/>
        <v/>
      </c>
    </row>
    <row r="9" spans="1:13" x14ac:dyDescent="0.35">
      <c r="A9" s="100" t="s">
        <v>83</v>
      </c>
      <c r="B9" s="100" t="s">
        <v>91</v>
      </c>
      <c r="C9" s="38">
        <v>2</v>
      </c>
      <c r="D9" s="38">
        <v>2</v>
      </c>
      <c r="E9" s="100">
        <v>2</v>
      </c>
      <c r="F9" s="101" t="str">
        <f t="shared" si="0"/>
        <v/>
      </c>
      <c r="G9" s="100"/>
      <c r="H9" s="100"/>
      <c r="I9" s="100"/>
      <c r="J9" s="100"/>
      <c r="K9" s="101" t="str">
        <f t="shared" si="1"/>
        <v/>
      </c>
      <c r="L9" s="101" t="str">
        <f t="shared" si="2"/>
        <v/>
      </c>
    </row>
    <row r="10" spans="1:13" x14ac:dyDescent="0.35">
      <c r="A10" s="100" t="s">
        <v>83</v>
      </c>
      <c r="B10" s="100" t="s">
        <v>92</v>
      </c>
      <c r="C10" s="38">
        <v>4</v>
      </c>
      <c r="D10" s="38"/>
      <c r="E10" s="100"/>
      <c r="F10" s="101" t="str">
        <f t="shared" si="0"/>
        <v/>
      </c>
      <c r="G10" s="100">
        <v>1</v>
      </c>
      <c r="H10" s="100">
        <v>1</v>
      </c>
      <c r="I10" s="100">
        <v>2</v>
      </c>
      <c r="J10" s="100"/>
      <c r="K10" s="101">
        <f t="shared" si="1"/>
        <v>4</v>
      </c>
      <c r="L10" s="101">
        <f t="shared" si="2"/>
        <v>0</v>
      </c>
      <c r="M10" s="120">
        <f>SUM(D2:D10)+SUM(K2:K10)</f>
        <v>19</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2"/>
  <sheetViews>
    <sheetView tabSelected="1" workbookViewId="0">
      <selection activeCell="B30" sqref="B30"/>
    </sheetView>
  </sheetViews>
  <sheetFormatPr defaultColWidth="8.81640625" defaultRowHeight="14.5" x14ac:dyDescent="0.35"/>
  <cols>
    <col min="1" max="1" width="10.81640625" bestFit="1" customWidth="1"/>
    <col min="2" max="2" width="28.7265625" bestFit="1" customWidth="1"/>
    <col min="3" max="3" width="36" style="30" customWidth="1"/>
    <col min="4" max="4" width="31.453125" bestFit="1" customWidth="1"/>
    <col min="5" max="5" width="4.1796875" bestFit="1" customWidth="1"/>
    <col min="6" max="6" width="12" bestFit="1" customWidth="1"/>
    <col min="7" max="7" width="11.26953125" bestFit="1" customWidth="1"/>
  </cols>
  <sheetData>
    <row r="1" spans="1:7" x14ac:dyDescent="0.35">
      <c r="A1" s="5" t="s">
        <v>93</v>
      </c>
      <c r="B1" s="5" t="s">
        <v>94</v>
      </c>
      <c r="C1" s="28" t="s">
        <v>95</v>
      </c>
      <c r="D1" s="5" t="s">
        <v>96</v>
      </c>
      <c r="E1" s="5" t="s">
        <v>97</v>
      </c>
      <c r="F1" s="5" t="s">
        <v>98</v>
      </c>
      <c r="G1" s="5" t="s">
        <v>99</v>
      </c>
    </row>
    <row r="2" spans="1:7" x14ac:dyDescent="0.35">
      <c r="A2" s="5" t="s">
        <v>1448</v>
      </c>
      <c r="B2" s="6" t="s">
        <v>100</v>
      </c>
      <c r="C2" s="26" t="s">
        <v>84</v>
      </c>
      <c r="D2" s="12" t="s">
        <v>101</v>
      </c>
      <c r="E2" s="14" t="s">
        <v>102</v>
      </c>
      <c r="F2" s="14" t="s">
        <v>103</v>
      </c>
      <c r="G2" s="14" t="s">
        <v>104</v>
      </c>
    </row>
    <row r="3" spans="1:7" x14ac:dyDescent="0.35">
      <c r="A3" s="5" t="s">
        <v>1448</v>
      </c>
      <c r="B3" s="15" t="s">
        <v>105</v>
      </c>
      <c r="C3" s="26" t="s">
        <v>106</v>
      </c>
      <c r="D3" s="37" t="s">
        <v>1447</v>
      </c>
      <c r="E3" s="5" t="s">
        <v>107</v>
      </c>
      <c r="F3" s="14" t="s">
        <v>103</v>
      </c>
      <c r="G3" s="5" t="s">
        <v>108</v>
      </c>
    </row>
    <row r="4" spans="1:7" x14ac:dyDescent="0.35">
      <c r="A4" s="5" t="s">
        <v>1448</v>
      </c>
      <c r="B4" s="15" t="s">
        <v>109</v>
      </c>
      <c r="C4" s="26" t="s">
        <v>106</v>
      </c>
      <c r="D4" s="37" t="s">
        <v>1447</v>
      </c>
      <c r="E4" s="5" t="s">
        <v>102</v>
      </c>
      <c r="F4" s="14" t="s">
        <v>103</v>
      </c>
      <c r="G4" s="5" t="s">
        <v>104</v>
      </c>
    </row>
    <row r="5" spans="1:7" x14ac:dyDescent="0.35">
      <c r="A5" s="5" t="s">
        <v>1448</v>
      </c>
      <c r="B5" s="6" t="s">
        <v>110</v>
      </c>
      <c r="C5" s="29" t="s">
        <v>111</v>
      </c>
      <c r="D5" s="37" t="s">
        <v>112</v>
      </c>
      <c r="E5" s="5" t="s">
        <v>102</v>
      </c>
      <c r="F5" s="14" t="s">
        <v>103</v>
      </c>
      <c r="G5" s="5" t="s">
        <v>104</v>
      </c>
    </row>
    <row r="6" spans="1:7" x14ac:dyDescent="0.35">
      <c r="A6" s="5" t="s">
        <v>1448</v>
      </c>
      <c r="B6" s="37" t="s">
        <v>113</v>
      </c>
      <c r="C6" s="29" t="s">
        <v>114</v>
      </c>
      <c r="D6" s="13" t="s">
        <v>115</v>
      </c>
      <c r="E6" s="5" t="s">
        <v>102</v>
      </c>
      <c r="F6" s="14" t="s">
        <v>103</v>
      </c>
      <c r="G6" s="5" t="s">
        <v>104</v>
      </c>
    </row>
    <row r="7" spans="1:7" x14ac:dyDescent="0.35">
      <c r="A7" s="5" t="s">
        <v>1448</v>
      </c>
      <c r="B7" s="35" t="s">
        <v>116</v>
      </c>
      <c r="C7" s="26" t="s">
        <v>117</v>
      </c>
      <c r="D7" s="37" t="s">
        <v>1447</v>
      </c>
      <c r="E7" s="14" t="s">
        <v>102</v>
      </c>
      <c r="F7" s="5" t="s">
        <v>118</v>
      </c>
      <c r="G7" s="5" t="s">
        <v>1445</v>
      </c>
    </row>
    <row r="8" spans="1:7" x14ac:dyDescent="0.35">
      <c r="A8" s="5" t="s">
        <v>1448</v>
      </c>
      <c r="B8" s="35" t="s">
        <v>119</v>
      </c>
      <c r="C8" s="26" t="s">
        <v>117</v>
      </c>
      <c r="D8" s="37" t="s">
        <v>1447</v>
      </c>
      <c r="E8" s="5" t="s">
        <v>102</v>
      </c>
      <c r="F8" s="5" t="s">
        <v>118</v>
      </c>
      <c r="G8" s="5" t="s">
        <v>1445</v>
      </c>
    </row>
    <row r="9" spans="1:7" x14ac:dyDescent="0.35">
      <c r="A9" s="5" t="s">
        <v>1448</v>
      </c>
      <c r="B9" s="35" t="s">
        <v>120</v>
      </c>
      <c r="C9" s="26" t="s">
        <v>117</v>
      </c>
      <c r="D9" s="37" t="s">
        <v>1447</v>
      </c>
      <c r="E9" s="14" t="s">
        <v>102</v>
      </c>
      <c r="F9" s="5" t="s">
        <v>118</v>
      </c>
      <c r="G9" s="5" t="s">
        <v>1445</v>
      </c>
    </row>
    <row r="10" spans="1:7" x14ac:dyDescent="0.35">
      <c r="A10" s="5" t="s">
        <v>1448</v>
      </c>
      <c r="B10" s="35" t="s">
        <v>121</v>
      </c>
      <c r="C10" s="26" t="s">
        <v>117</v>
      </c>
      <c r="D10" s="37" t="s">
        <v>1447</v>
      </c>
      <c r="E10" s="5" t="s">
        <v>102</v>
      </c>
      <c r="F10" s="5" t="s">
        <v>118</v>
      </c>
      <c r="G10" s="5" t="s">
        <v>1445</v>
      </c>
    </row>
    <row r="11" spans="1:7" x14ac:dyDescent="0.35">
      <c r="A11" s="5" t="s">
        <v>1448</v>
      </c>
      <c r="B11" s="35" t="s">
        <v>122</v>
      </c>
      <c r="C11" s="26" t="s">
        <v>117</v>
      </c>
      <c r="D11" s="37" t="s">
        <v>1447</v>
      </c>
      <c r="E11" s="14" t="s">
        <v>102</v>
      </c>
      <c r="F11" s="5" t="s">
        <v>118</v>
      </c>
      <c r="G11" s="5" t="s">
        <v>1445</v>
      </c>
    </row>
    <row r="12" spans="1:7" x14ac:dyDescent="0.35">
      <c r="A12" s="5" t="s">
        <v>1448</v>
      </c>
      <c r="B12" s="35" t="s">
        <v>123</v>
      </c>
      <c r="C12" s="26" t="s">
        <v>117</v>
      </c>
      <c r="D12" s="37" t="s">
        <v>1447</v>
      </c>
      <c r="E12" s="5" t="s">
        <v>107</v>
      </c>
      <c r="F12" s="5" t="s">
        <v>118</v>
      </c>
      <c r="G12" s="5" t="s">
        <v>1445</v>
      </c>
    </row>
    <row r="13" spans="1:7" x14ac:dyDescent="0.35">
      <c r="A13" s="5" t="s">
        <v>1448</v>
      </c>
      <c r="B13" s="35" t="s">
        <v>124</v>
      </c>
      <c r="C13" s="26" t="s">
        <v>117</v>
      </c>
      <c r="D13" s="37" t="s">
        <v>1447</v>
      </c>
      <c r="E13" s="5" t="s">
        <v>107</v>
      </c>
      <c r="F13" s="5" t="s">
        <v>125</v>
      </c>
      <c r="G13" s="5" t="s">
        <v>1446</v>
      </c>
    </row>
    <row r="14" spans="1:7" x14ac:dyDescent="0.35">
      <c r="A14" s="37" t="s">
        <v>1449</v>
      </c>
      <c r="B14" s="6" t="s">
        <v>126</v>
      </c>
      <c r="C14" s="26" t="s">
        <v>127</v>
      </c>
      <c r="D14" s="13" t="s">
        <v>1443</v>
      </c>
      <c r="E14" s="5" t="s">
        <v>107</v>
      </c>
      <c r="F14" s="5" t="s">
        <v>118</v>
      </c>
      <c r="G14" s="5" t="s">
        <v>1445</v>
      </c>
    </row>
    <row r="15" spans="1:7" x14ac:dyDescent="0.35">
      <c r="A15" s="37" t="s">
        <v>1449</v>
      </c>
      <c r="B15" s="35" t="s">
        <v>128</v>
      </c>
      <c r="C15" s="26" t="s">
        <v>117</v>
      </c>
      <c r="D15" s="37" t="s">
        <v>1447</v>
      </c>
      <c r="E15" s="14" t="s">
        <v>107</v>
      </c>
      <c r="F15" s="5" t="s">
        <v>118</v>
      </c>
      <c r="G15" s="5" t="s">
        <v>1445</v>
      </c>
    </row>
    <row r="16" spans="1:7" x14ac:dyDescent="0.35">
      <c r="A16" s="37" t="s">
        <v>1449</v>
      </c>
      <c r="B16" s="35" t="s">
        <v>129</v>
      </c>
      <c r="C16" s="26" t="s">
        <v>117</v>
      </c>
      <c r="D16" s="37" t="s">
        <v>1447</v>
      </c>
      <c r="E16" s="5" t="s">
        <v>102</v>
      </c>
      <c r="F16" s="5" t="s">
        <v>118</v>
      </c>
      <c r="G16" s="5" t="s">
        <v>1445</v>
      </c>
    </row>
    <row r="17" spans="1:7" x14ac:dyDescent="0.35">
      <c r="A17" s="37" t="s">
        <v>1449</v>
      </c>
      <c r="B17" s="35" t="s">
        <v>130</v>
      </c>
      <c r="C17" s="26" t="s">
        <v>131</v>
      </c>
      <c r="D17" s="37" t="s">
        <v>1447</v>
      </c>
      <c r="E17" s="14" t="s">
        <v>102</v>
      </c>
      <c r="F17" s="5" t="s">
        <v>118</v>
      </c>
      <c r="G17" s="5" t="s">
        <v>1445</v>
      </c>
    </row>
    <row r="18" spans="1:7" x14ac:dyDescent="0.35">
      <c r="A18" s="37" t="s">
        <v>1449</v>
      </c>
      <c r="B18" s="35" t="s">
        <v>132</v>
      </c>
      <c r="C18" s="26" t="s">
        <v>131</v>
      </c>
      <c r="D18" s="37" t="s">
        <v>1447</v>
      </c>
      <c r="E18" s="14" t="s">
        <v>107</v>
      </c>
      <c r="F18" s="5" t="s">
        <v>118</v>
      </c>
      <c r="G18" s="5" t="s">
        <v>1445</v>
      </c>
    </row>
    <row r="19" spans="1:7" x14ac:dyDescent="0.35">
      <c r="A19" s="37" t="s">
        <v>1448</v>
      </c>
      <c r="B19" s="6" t="s">
        <v>133</v>
      </c>
      <c r="C19" s="26" t="s">
        <v>131</v>
      </c>
      <c r="D19" s="37" t="s">
        <v>1447</v>
      </c>
      <c r="E19" s="5" t="s">
        <v>102</v>
      </c>
      <c r="F19" s="5" t="s">
        <v>125</v>
      </c>
      <c r="G19" s="5" t="s">
        <v>1446</v>
      </c>
    </row>
    <row r="20" spans="1:7" x14ac:dyDescent="0.35">
      <c r="A20" s="37" t="s">
        <v>1449</v>
      </c>
      <c r="B20" s="6"/>
      <c r="C20" s="26" t="s">
        <v>117</v>
      </c>
      <c r="D20" s="13"/>
      <c r="E20" s="5"/>
      <c r="F20" s="5"/>
      <c r="G20" s="5"/>
    </row>
    <row r="21" spans="1:7" x14ac:dyDescent="0.35">
      <c r="A21" s="37" t="s">
        <v>1449</v>
      </c>
      <c r="B21" s="15"/>
      <c r="C21" s="26" t="s">
        <v>117</v>
      </c>
      <c r="D21" s="13"/>
      <c r="E21" s="5"/>
      <c r="F21" s="5"/>
      <c r="G21" s="5"/>
    </row>
    <row r="22" spans="1:7" x14ac:dyDescent="0.35">
      <c r="A22" s="37" t="s">
        <v>1449</v>
      </c>
      <c r="B22" s="15"/>
      <c r="C22" s="26" t="s">
        <v>117</v>
      </c>
      <c r="D22" s="25"/>
      <c r="E22" s="5"/>
      <c r="F22" s="5"/>
      <c r="G22" s="5"/>
    </row>
    <row r="23" spans="1:7" x14ac:dyDescent="0.35">
      <c r="A23" s="37" t="s">
        <v>1449</v>
      </c>
      <c r="B23" s="15"/>
      <c r="C23" s="26" t="s">
        <v>117</v>
      </c>
      <c r="D23" s="5"/>
      <c r="E23" s="5"/>
      <c r="F23" s="5"/>
      <c r="G23" s="5"/>
    </row>
    <row r="24" spans="1:7" x14ac:dyDescent="0.35">
      <c r="A24" s="37" t="s">
        <v>1450</v>
      </c>
      <c r="B24" s="130" t="s">
        <v>134</v>
      </c>
      <c r="C24" s="26" t="s">
        <v>127</v>
      </c>
      <c r="D24" s="13" t="s">
        <v>1444</v>
      </c>
      <c r="E24" t="s">
        <v>102</v>
      </c>
    </row>
    <row r="25" spans="1:7" x14ac:dyDescent="0.35">
      <c r="A25" s="37" t="s">
        <v>1450</v>
      </c>
      <c r="B25" s="35" t="s">
        <v>135</v>
      </c>
      <c r="C25" s="26" t="s">
        <v>117</v>
      </c>
      <c r="D25" t="s">
        <v>1447</v>
      </c>
      <c r="E25" t="s">
        <v>102</v>
      </c>
    </row>
    <row r="26" spans="1:7" x14ac:dyDescent="0.35">
      <c r="A26" s="37" t="s">
        <v>1450</v>
      </c>
      <c r="B26" s="35" t="s">
        <v>136</v>
      </c>
      <c r="C26" s="26" t="s">
        <v>117</v>
      </c>
      <c r="D26" t="s">
        <v>1447</v>
      </c>
      <c r="E26" t="s">
        <v>102</v>
      </c>
    </row>
    <row r="27" spans="1:7" x14ac:dyDescent="0.35">
      <c r="A27" s="37" t="s">
        <v>1450</v>
      </c>
      <c r="B27" s="35" t="s">
        <v>130</v>
      </c>
      <c r="C27" s="26" t="s">
        <v>131</v>
      </c>
      <c r="D27" t="s">
        <v>1447</v>
      </c>
      <c r="E27" t="s">
        <v>102</v>
      </c>
    </row>
    <row r="28" spans="1:7" x14ac:dyDescent="0.35">
      <c r="A28" s="37" t="s">
        <v>1450</v>
      </c>
      <c r="B28" s="35" t="s">
        <v>129</v>
      </c>
      <c r="C28" s="26" t="s">
        <v>131</v>
      </c>
      <c r="D28" t="s">
        <v>1447</v>
      </c>
      <c r="E28" t="s">
        <v>102</v>
      </c>
    </row>
    <row r="29" spans="1:7" x14ac:dyDescent="0.35">
      <c r="A29" s="37" t="s">
        <v>1450</v>
      </c>
      <c r="C29" s="26" t="s">
        <v>117</v>
      </c>
    </row>
    <row r="30" spans="1:7" x14ac:dyDescent="0.35">
      <c r="A30" s="37" t="s">
        <v>1450</v>
      </c>
      <c r="C30" s="26" t="s">
        <v>117</v>
      </c>
    </row>
    <row r="31" spans="1:7" x14ac:dyDescent="0.35">
      <c r="A31" s="37" t="s">
        <v>1450</v>
      </c>
      <c r="C31" s="26" t="s">
        <v>117</v>
      </c>
    </row>
    <row r="32" spans="1:7" ht="15.75" customHeight="1" x14ac:dyDescent="0.35">
      <c r="A32" s="37" t="s">
        <v>1450</v>
      </c>
      <c r="C32" s="26" t="s">
        <v>117</v>
      </c>
    </row>
    <row r="33" spans="1:7" ht="15.75" customHeight="1" x14ac:dyDescent="0.35">
      <c r="A33" s="37"/>
    </row>
    <row r="34" spans="1:7" x14ac:dyDescent="0.35">
      <c r="A34" s="15"/>
      <c r="B34" s="15"/>
      <c r="C34" s="26"/>
      <c r="D34" s="14"/>
      <c r="E34" s="5"/>
      <c r="F34" s="14"/>
      <c r="G34" s="5"/>
    </row>
    <row r="35" spans="1:7" x14ac:dyDescent="0.35">
      <c r="A35" s="15"/>
      <c r="B35" s="15"/>
      <c r="C35" s="26"/>
      <c r="D35" s="14"/>
      <c r="E35" s="5"/>
      <c r="F35" s="5"/>
      <c r="G35" s="5"/>
    </row>
    <row r="36" spans="1:7" x14ac:dyDescent="0.35">
      <c r="A36" s="15"/>
      <c r="B36" s="23"/>
      <c r="C36" s="26"/>
      <c r="D36" s="24"/>
      <c r="E36" s="5"/>
      <c r="F36" s="5"/>
      <c r="G36" s="5"/>
    </row>
    <row r="37" spans="1:7" x14ac:dyDescent="0.35">
      <c r="A37" s="15"/>
      <c r="B37" s="23"/>
      <c r="C37" s="26"/>
      <c r="D37" s="24"/>
      <c r="E37" s="5"/>
      <c r="F37" s="5"/>
      <c r="G37" s="5"/>
    </row>
    <row r="38" spans="1:7" x14ac:dyDescent="0.35">
      <c r="A38" s="15"/>
      <c r="B38" s="15"/>
      <c r="C38" s="26"/>
      <c r="D38" s="24"/>
      <c r="E38" s="5"/>
      <c r="F38" s="5"/>
      <c r="G38" s="5"/>
    </row>
    <row r="39" spans="1:7" x14ac:dyDescent="0.35">
      <c r="A39" s="15"/>
      <c r="B39" s="15"/>
      <c r="C39" s="26"/>
      <c r="D39" s="14"/>
      <c r="E39" s="5"/>
      <c r="F39" s="5"/>
      <c r="G39" s="5"/>
    </row>
    <row r="40" spans="1:7" x14ac:dyDescent="0.35">
      <c r="A40" s="15"/>
      <c r="B40" s="15"/>
      <c r="C40" s="26"/>
      <c r="D40" s="14"/>
      <c r="E40" s="5"/>
      <c r="F40" s="5"/>
      <c r="G40" s="5"/>
    </row>
    <row r="41" spans="1:7" x14ac:dyDescent="0.35">
      <c r="A41" s="15"/>
      <c r="B41" s="15"/>
      <c r="C41" s="26"/>
      <c r="D41" s="14"/>
      <c r="E41" s="5"/>
      <c r="F41" s="5"/>
      <c r="G41" s="5"/>
    </row>
    <row r="42" spans="1:7" x14ac:dyDescent="0.35">
      <c r="A42" s="15"/>
      <c r="B42" s="15"/>
      <c r="C42" s="26"/>
      <c r="D42" s="14"/>
      <c r="E42" s="5"/>
      <c r="F42" s="5"/>
      <c r="G42" s="5"/>
    </row>
    <row r="43" spans="1:7" x14ac:dyDescent="0.35">
      <c r="A43" s="15"/>
      <c r="B43" s="23"/>
      <c r="C43" s="26"/>
      <c r="D43" s="24"/>
      <c r="E43" s="5"/>
      <c r="F43" s="5"/>
      <c r="G43" s="5"/>
    </row>
    <row r="44" spans="1:7" x14ac:dyDescent="0.35">
      <c r="A44" s="15"/>
      <c r="B44" s="23"/>
      <c r="C44" s="26"/>
      <c r="D44" s="14"/>
      <c r="E44" s="5"/>
      <c r="F44" s="5"/>
      <c r="G44" s="5"/>
    </row>
    <row r="45" spans="1:7" x14ac:dyDescent="0.35">
      <c r="A45" s="15"/>
      <c r="B45" s="15"/>
      <c r="C45" s="26"/>
      <c r="D45" s="14"/>
      <c r="E45" s="5"/>
      <c r="F45" s="5"/>
      <c r="G45" s="5"/>
    </row>
    <row r="46" spans="1:7" x14ac:dyDescent="0.35">
      <c r="A46" s="15"/>
      <c r="B46" s="23"/>
      <c r="C46" s="26"/>
      <c r="D46" s="24"/>
      <c r="E46" s="5"/>
      <c r="F46" s="5"/>
      <c r="G46" s="5"/>
    </row>
    <row r="47" spans="1:7" x14ac:dyDescent="0.35">
      <c r="A47" s="15"/>
      <c r="B47" s="15"/>
      <c r="C47" s="26"/>
      <c r="D47" s="14"/>
      <c r="E47" s="5"/>
      <c r="F47" s="5"/>
      <c r="G47" s="5"/>
    </row>
    <row r="48" spans="1:7" x14ac:dyDescent="0.35">
      <c r="A48" s="15"/>
      <c r="B48" s="15"/>
      <c r="C48" s="26"/>
      <c r="D48" s="14"/>
      <c r="E48" s="5"/>
      <c r="F48" s="5"/>
      <c r="G48" s="5"/>
    </row>
    <row r="49" spans="1:7" x14ac:dyDescent="0.35">
      <c r="A49" s="15"/>
      <c r="B49" s="23"/>
      <c r="C49" s="27"/>
      <c r="D49" s="14"/>
      <c r="E49" s="5"/>
      <c r="F49" s="5"/>
      <c r="G49" s="5"/>
    </row>
    <row r="50" spans="1:7" x14ac:dyDescent="0.35">
      <c r="A50" s="15"/>
      <c r="B50" s="5"/>
      <c r="C50" s="27"/>
      <c r="D50" s="24"/>
      <c r="E50" s="5"/>
      <c r="F50" s="5"/>
      <c r="G50" s="5"/>
    </row>
    <row r="51" spans="1:7" x14ac:dyDescent="0.35">
      <c r="A51" s="5"/>
      <c r="B51" s="31"/>
      <c r="C51" s="27"/>
      <c r="D51" s="24"/>
      <c r="E51" s="5"/>
      <c r="F51" s="5"/>
      <c r="G51" s="5"/>
    </row>
    <row r="52" spans="1:7" x14ac:dyDescent="0.35">
      <c r="A52" s="5"/>
      <c r="B52" s="23"/>
      <c r="C52" s="27"/>
      <c r="E52" s="5"/>
      <c r="F52" s="5"/>
      <c r="G52" s="5"/>
    </row>
  </sheetData>
  <hyperlinks>
    <hyperlink ref="D2" r:id="rId1" display="mailto:eriko@hi.no" xr:uid="{00000000-0004-0000-0500-000000000000}"/>
    <hyperlink ref="D14" r:id="rId2" xr:uid="{00000000-0004-0000-0500-000001000000}"/>
    <hyperlink ref="D6" r:id="rId3" xr:uid="{00000000-0004-0000-0500-000002000000}"/>
    <hyperlink ref="D24" r:id="rId4" xr:uid="{AFDE290D-BFAE-4C39-8445-47546F714AD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B18" sqref="B18"/>
    </sheetView>
  </sheetViews>
  <sheetFormatPr defaultColWidth="8.81640625" defaultRowHeight="14.5" x14ac:dyDescent="0.35"/>
  <cols>
    <col min="1" max="1" width="27.26953125" bestFit="1" customWidth="1"/>
    <col min="2" max="2" width="124" bestFit="1" customWidth="1"/>
  </cols>
  <sheetData>
    <row r="1" spans="1:2" x14ac:dyDescent="0.35">
      <c r="A1" s="1" t="s">
        <v>137</v>
      </c>
      <c r="B1" s="1" t="s">
        <v>138</v>
      </c>
    </row>
    <row r="2" spans="1:2" x14ac:dyDescent="0.35">
      <c r="A2" t="s">
        <v>139</v>
      </c>
      <c r="B2" t="s">
        <v>140</v>
      </c>
    </row>
    <row r="3" spans="1:2" x14ac:dyDescent="0.35">
      <c r="A3" t="s">
        <v>141</v>
      </c>
    </row>
    <row r="4" spans="1:2" x14ac:dyDescent="0.35">
      <c r="A4" t="s">
        <v>142</v>
      </c>
    </row>
    <row r="5" spans="1:2" x14ac:dyDescent="0.35">
      <c r="A5" t="s">
        <v>143</v>
      </c>
    </row>
    <row r="6" spans="1:2" x14ac:dyDescent="0.35">
      <c r="A6" t="s">
        <v>144</v>
      </c>
    </row>
    <row r="7" spans="1:2" x14ac:dyDescent="0.35">
      <c r="A7" t="s">
        <v>145</v>
      </c>
      <c r="B7" t="s">
        <v>146</v>
      </c>
    </row>
    <row r="8" spans="1:2" x14ac:dyDescent="0.35">
      <c r="A8" t="s">
        <v>147</v>
      </c>
      <c r="B8" t="s">
        <v>148</v>
      </c>
    </row>
    <row r="9" spans="1:2" x14ac:dyDescent="0.35">
      <c r="A9" t="s">
        <v>149</v>
      </c>
      <c r="B9" t="s">
        <v>150</v>
      </c>
    </row>
    <row r="10" spans="1:2" x14ac:dyDescent="0.35">
      <c r="A10" t="s">
        <v>151</v>
      </c>
    </row>
    <row r="11" spans="1:2" x14ac:dyDescent="0.35">
      <c r="A11" t="s">
        <v>152</v>
      </c>
    </row>
    <row r="12" spans="1:2" x14ac:dyDescent="0.35">
      <c r="A12" t="s">
        <v>153</v>
      </c>
      <c r="B12" t="s">
        <v>154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1"/>
  <sheetViews>
    <sheetView workbookViewId="0">
      <selection activeCell="D28" sqref="D28"/>
    </sheetView>
  </sheetViews>
  <sheetFormatPr defaultColWidth="8.81640625" defaultRowHeight="14.5" x14ac:dyDescent="0.35"/>
  <cols>
    <col min="1" max="1" width="21.1796875" bestFit="1" customWidth="1"/>
    <col min="2" max="2" width="26.7265625" bestFit="1" customWidth="1"/>
    <col min="3" max="3" width="15.1796875" bestFit="1" customWidth="1"/>
    <col min="4" max="4" width="25" bestFit="1" customWidth="1"/>
    <col min="5" max="5" width="12.81640625" bestFit="1" customWidth="1"/>
    <col min="6" max="6" width="19.453125" bestFit="1" customWidth="1"/>
    <col min="7" max="7" width="26.1796875" bestFit="1" customWidth="1"/>
    <col min="8" max="8" width="31.81640625" bestFit="1" customWidth="1"/>
  </cols>
  <sheetData>
    <row r="1" spans="1:8" x14ac:dyDescent="0.35">
      <c r="A1" s="1" t="s">
        <v>155</v>
      </c>
      <c r="B1" s="1" t="s">
        <v>156</v>
      </c>
      <c r="C1" s="1" t="s">
        <v>157</v>
      </c>
      <c r="D1" s="1" t="s">
        <v>158</v>
      </c>
      <c r="E1" s="1" t="s">
        <v>159</v>
      </c>
      <c r="F1" s="1" t="s">
        <v>160</v>
      </c>
      <c r="G1" s="1" t="s">
        <v>161</v>
      </c>
      <c r="H1" s="1" t="s">
        <v>162</v>
      </c>
    </row>
    <row r="2" spans="1:8" x14ac:dyDescent="0.35">
      <c r="A2" s="5" t="s">
        <v>163</v>
      </c>
      <c r="B2" s="5" t="s">
        <v>164</v>
      </c>
      <c r="C2" s="33"/>
      <c r="D2" s="33"/>
      <c r="E2" s="33" t="s">
        <v>165</v>
      </c>
      <c r="F2" s="33"/>
      <c r="G2" s="33"/>
      <c r="H2" s="33"/>
    </row>
    <row r="3" spans="1:8" x14ac:dyDescent="0.35">
      <c r="A3" s="5" t="s">
        <v>163</v>
      </c>
      <c r="B3" s="5" t="s">
        <v>166</v>
      </c>
      <c r="C3" s="33"/>
      <c r="D3" s="33"/>
      <c r="E3" s="33"/>
      <c r="F3" s="33" t="s">
        <v>165</v>
      </c>
      <c r="G3" s="33"/>
      <c r="H3" s="33"/>
    </row>
    <row r="4" spans="1:8" x14ac:dyDescent="0.35">
      <c r="A4" s="5" t="s">
        <v>163</v>
      </c>
      <c r="B4" s="5" t="s">
        <v>167</v>
      </c>
      <c r="C4" s="33"/>
      <c r="D4" s="33"/>
      <c r="E4" s="33"/>
      <c r="F4" s="33" t="s">
        <v>165</v>
      </c>
      <c r="G4" s="33"/>
      <c r="H4" s="33"/>
    </row>
    <row r="5" spans="1:8" x14ac:dyDescent="0.35">
      <c r="A5" s="5" t="s">
        <v>163</v>
      </c>
      <c r="B5" s="5" t="s">
        <v>168</v>
      </c>
      <c r="C5" s="33"/>
      <c r="D5" s="33"/>
      <c r="E5" s="33"/>
      <c r="F5" s="33" t="s">
        <v>165</v>
      </c>
      <c r="G5" s="33"/>
      <c r="H5" s="33"/>
    </row>
    <row r="6" spans="1:8" x14ac:dyDescent="0.35">
      <c r="A6" s="5" t="s">
        <v>163</v>
      </c>
      <c r="B6" s="5" t="s">
        <v>169</v>
      </c>
      <c r="C6" s="33"/>
      <c r="D6" s="33"/>
      <c r="E6" s="33"/>
      <c r="F6" s="33" t="s">
        <v>165</v>
      </c>
      <c r="G6" s="33"/>
      <c r="H6" s="33"/>
    </row>
    <row r="7" spans="1:8" x14ac:dyDescent="0.35">
      <c r="A7" s="5" t="s">
        <v>163</v>
      </c>
      <c r="B7" s="5" t="s">
        <v>170</v>
      </c>
      <c r="C7" s="33"/>
      <c r="D7" s="33"/>
      <c r="E7" s="33"/>
      <c r="F7" s="33" t="s">
        <v>165</v>
      </c>
      <c r="G7" s="33"/>
      <c r="H7" s="33"/>
    </row>
    <row r="8" spans="1:8" x14ac:dyDescent="0.35">
      <c r="A8" s="5" t="s">
        <v>163</v>
      </c>
      <c r="B8" s="5" t="s">
        <v>171</v>
      </c>
      <c r="C8" s="33"/>
      <c r="D8" s="33"/>
      <c r="E8" s="33"/>
      <c r="F8" s="33" t="s">
        <v>165</v>
      </c>
      <c r="G8" s="33"/>
      <c r="H8" s="33"/>
    </row>
    <row r="9" spans="1:8" x14ac:dyDescent="0.35">
      <c r="A9" s="5" t="s">
        <v>163</v>
      </c>
      <c r="B9" s="5" t="s">
        <v>172</v>
      </c>
      <c r="C9" s="33"/>
      <c r="D9" s="33" t="s">
        <v>165</v>
      </c>
      <c r="E9" s="33"/>
      <c r="F9" s="33"/>
      <c r="G9" s="33"/>
      <c r="H9" s="33"/>
    </row>
    <row r="10" spans="1:8" x14ac:dyDescent="0.35">
      <c r="A10" s="5" t="s">
        <v>163</v>
      </c>
      <c r="B10" s="5" t="s">
        <v>173</v>
      </c>
      <c r="C10" s="33"/>
      <c r="D10" s="33" t="s">
        <v>165</v>
      </c>
      <c r="E10" s="33"/>
      <c r="F10" s="33"/>
      <c r="G10" s="33"/>
      <c r="H10" s="33"/>
    </row>
    <row r="11" spans="1:8" x14ac:dyDescent="0.35">
      <c r="A11" s="5" t="s">
        <v>174</v>
      </c>
      <c r="B11" s="5" t="s">
        <v>175</v>
      </c>
      <c r="C11" s="33"/>
      <c r="D11" s="33"/>
      <c r="E11" s="33"/>
      <c r="F11" s="33" t="s">
        <v>165</v>
      </c>
      <c r="G11" s="33"/>
      <c r="H11" s="33"/>
    </row>
    <row r="12" spans="1:8" x14ac:dyDescent="0.35">
      <c r="A12" s="5" t="s">
        <v>174</v>
      </c>
      <c r="B12" s="5" t="s">
        <v>176</v>
      </c>
      <c r="C12" s="33"/>
      <c r="D12" s="33"/>
      <c r="E12" s="33"/>
      <c r="F12" s="33" t="s">
        <v>165</v>
      </c>
      <c r="G12" s="33"/>
      <c r="H12" s="33"/>
    </row>
    <row r="13" spans="1:8" x14ac:dyDescent="0.35">
      <c r="A13" s="5" t="s">
        <v>174</v>
      </c>
      <c r="B13" s="5" t="s">
        <v>177</v>
      </c>
      <c r="C13" s="33"/>
      <c r="D13" s="33"/>
      <c r="E13" s="33"/>
      <c r="F13" s="33" t="s">
        <v>165</v>
      </c>
      <c r="G13" s="33"/>
      <c r="H13" s="33"/>
    </row>
    <row r="14" spans="1:8" x14ac:dyDescent="0.35">
      <c r="A14" s="5" t="s">
        <v>174</v>
      </c>
      <c r="B14" s="5" t="s">
        <v>178</v>
      </c>
      <c r="C14" s="33"/>
      <c r="D14" s="33"/>
      <c r="E14" s="33"/>
      <c r="F14" s="33" t="s">
        <v>165</v>
      </c>
      <c r="G14" s="33"/>
      <c r="H14" s="33"/>
    </row>
    <row r="15" spans="1:8" x14ac:dyDescent="0.35">
      <c r="A15" s="5" t="s">
        <v>174</v>
      </c>
      <c r="B15" s="5" t="s">
        <v>179</v>
      </c>
      <c r="C15" s="33"/>
      <c r="D15" s="33"/>
      <c r="E15" s="33"/>
      <c r="F15" s="33" t="s">
        <v>165</v>
      </c>
      <c r="G15" s="33"/>
      <c r="H15" s="33"/>
    </row>
    <row r="16" spans="1:8" x14ac:dyDescent="0.35">
      <c r="A16" s="5" t="s">
        <v>174</v>
      </c>
      <c r="B16" s="5" t="s">
        <v>180</v>
      </c>
      <c r="C16" s="33"/>
      <c r="D16" s="33"/>
      <c r="E16" s="33"/>
      <c r="F16" s="33" t="s">
        <v>165</v>
      </c>
      <c r="G16" s="33"/>
      <c r="H16" s="33"/>
    </row>
    <row r="17" spans="1:8" x14ac:dyDescent="0.35">
      <c r="A17" s="5" t="s">
        <v>174</v>
      </c>
      <c r="B17" s="5" t="s">
        <v>181</v>
      </c>
      <c r="C17" s="33"/>
      <c r="D17" s="33" t="s">
        <v>165</v>
      </c>
      <c r="E17" s="33"/>
      <c r="F17" s="33"/>
      <c r="G17" s="33"/>
      <c r="H17" s="33"/>
    </row>
    <row r="18" spans="1:8" x14ac:dyDescent="0.35">
      <c r="A18" s="5" t="s">
        <v>174</v>
      </c>
      <c r="B18" s="5" t="s">
        <v>182</v>
      </c>
      <c r="D18" s="33"/>
      <c r="E18" s="33"/>
      <c r="F18" s="33" t="s">
        <v>165</v>
      </c>
      <c r="G18" s="33"/>
      <c r="H18" s="33"/>
    </row>
    <row r="19" spans="1:8" x14ac:dyDescent="0.35">
      <c r="A19" s="5" t="s">
        <v>174</v>
      </c>
      <c r="B19" s="5" t="s">
        <v>183</v>
      </c>
      <c r="D19" s="33"/>
      <c r="E19" s="33"/>
      <c r="F19" s="33" t="s">
        <v>165</v>
      </c>
      <c r="G19" s="33"/>
      <c r="H19" s="33"/>
    </row>
    <row r="20" spans="1:8" x14ac:dyDescent="0.35">
      <c r="A20" s="5" t="s">
        <v>174</v>
      </c>
      <c r="B20" s="5" t="s">
        <v>184</v>
      </c>
      <c r="D20" s="33"/>
      <c r="E20" s="33"/>
      <c r="F20" s="33"/>
      <c r="G20" s="33"/>
      <c r="H20" s="33"/>
    </row>
    <row r="21" spans="1:8" x14ac:dyDescent="0.35">
      <c r="A21" s="5" t="s">
        <v>174</v>
      </c>
      <c r="B21" s="5" t="s">
        <v>185</v>
      </c>
      <c r="D21" s="33"/>
      <c r="E21" s="33"/>
      <c r="F21" s="33" t="s">
        <v>165</v>
      </c>
      <c r="G21" s="33"/>
      <c r="H21" s="33"/>
    </row>
    <row r="22" spans="1:8" x14ac:dyDescent="0.35">
      <c r="A22" s="5" t="s">
        <v>186</v>
      </c>
      <c r="B22" s="5" t="s">
        <v>187</v>
      </c>
      <c r="C22" s="33" t="s">
        <v>165</v>
      </c>
      <c r="D22" s="33"/>
      <c r="E22" s="33"/>
      <c r="F22" s="33"/>
      <c r="G22" s="33"/>
      <c r="H22" s="33"/>
    </row>
    <row r="23" spans="1:8" x14ac:dyDescent="0.35">
      <c r="A23" s="5" t="s">
        <v>186</v>
      </c>
      <c r="B23" s="5" t="s">
        <v>188</v>
      </c>
      <c r="C23" s="33"/>
      <c r="D23" s="33"/>
      <c r="E23" s="33"/>
      <c r="F23" s="33" t="s">
        <v>165</v>
      </c>
      <c r="G23" s="33"/>
      <c r="H23" s="33"/>
    </row>
    <row r="24" spans="1:8" x14ac:dyDescent="0.35">
      <c r="A24" s="5" t="s">
        <v>186</v>
      </c>
      <c r="B24" s="5" t="s">
        <v>143</v>
      </c>
      <c r="C24" s="33"/>
      <c r="E24" s="33"/>
      <c r="F24" s="33" t="s">
        <v>165</v>
      </c>
      <c r="G24" s="33"/>
      <c r="H24" s="33"/>
    </row>
    <row r="25" spans="1:8" x14ac:dyDescent="0.35">
      <c r="A25" s="5" t="s">
        <v>189</v>
      </c>
      <c r="B25" s="5" t="s">
        <v>190</v>
      </c>
      <c r="C25" s="33"/>
      <c r="D25" s="33"/>
      <c r="E25" s="33"/>
      <c r="F25" s="33" t="s">
        <v>165</v>
      </c>
      <c r="G25" s="33"/>
      <c r="H25" s="33" t="s">
        <v>165</v>
      </c>
    </row>
    <row r="26" spans="1:8" x14ac:dyDescent="0.35">
      <c r="A26" s="5" t="s">
        <v>191</v>
      </c>
      <c r="B26" s="5" t="s">
        <v>192</v>
      </c>
      <c r="C26" s="33"/>
      <c r="D26" s="33"/>
      <c r="E26" s="33"/>
      <c r="F26" s="33" t="s">
        <v>165</v>
      </c>
      <c r="G26" s="33"/>
      <c r="H26" s="33"/>
    </row>
    <row r="27" spans="1:8" x14ac:dyDescent="0.35">
      <c r="A27" s="5" t="s">
        <v>191</v>
      </c>
      <c r="B27" s="5" t="s">
        <v>193</v>
      </c>
      <c r="C27" s="33"/>
      <c r="D27" s="33"/>
      <c r="E27" s="33"/>
      <c r="F27" s="33" t="s">
        <v>165</v>
      </c>
      <c r="G27" s="33"/>
      <c r="H27" s="33"/>
    </row>
    <row r="28" spans="1:8" x14ac:dyDescent="0.35">
      <c r="A28" s="5" t="s">
        <v>191</v>
      </c>
      <c r="B28" s="5" t="s">
        <v>194</v>
      </c>
      <c r="C28" s="33"/>
      <c r="D28" s="33"/>
      <c r="E28" s="33"/>
      <c r="F28" s="33" t="s">
        <v>165</v>
      </c>
      <c r="G28" s="33"/>
      <c r="H28" s="33"/>
    </row>
    <row r="29" spans="1:8" x14ac:dyDescent="0.35">
      <c r="A29" s="5" t="s">
        <v>191</v>
      </c>
      <c r="B29" s="5" t="s">
        <v>195</v>
      </c>
      <c r="C29" s="33"/>
      <c r="D29" s="33"/>
      <c r="E29" s="5" t="s">
        <v>165</v>
      </c>
      <c r="F29" s="33"/>
      <c r="G29" s="33"/>
      <c r="H29" s="33"/>
    </row>
    <row r="30" spans="1:8" x14ac:dyDescent="0.35">
      <c r="A30" s="5" t="s">
        <v>191</v>
      </c>
      <c r="B30" s="5" t="s">
        <v>196</v>
      </c>
      <c r="C30" s="33" t="s">
        <v>165</v>
      </c>
      <c r="D30" s="33"/>
      <c r="E30" s="33"/>
      <c r="F30" s="33"/>
      <c r="G30" s="33"/>
      <c r="H30" s="33"/>
    </row>
    <row r="31" spans="1:8" x14ac:dyDescent="0.35">
      <c r="A31" s="5" t="s">
        <v>191</v>
      </c>
      <c r="B31" s="5" t="s">
        <v>197</v>
      </c>
      <c r="C31" s="5"/>
      <c r="D31" s="5"/>
      <c r="E31" s="5" t="s">
        <v>165</v>
      </c>
      <c r="F31" s="5"/>
      <c r="G31" s="5"/>
      <c r="H31" s="5"/>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H14" sqref="H14"/>
    </sheetView>
  </sheetViews>
  <sheetFormatPr defaultColWidth="8.81640625" defaultRowHeight="14.5" x14ac:dyDescent="0.35"/>
  <cols>
    <col min="1" max="1" width="26.1796875" customWidth="1"/>
    <col min="9" max="9" width="12" customWidth="1"/>
    <col min="10" max="10" width="11.1796875" customWidth="1"/>
  </cols>
  <sheetData>
    <row r="1" spans="1:13" ht="42" customHeight="1" thickBot="1" x14ac:dyDescent="0.4">
      <c r="A1" s="39" t="s">
        <v>198</v>
      </c>
      <c r="B1" s="40" t="s">
        <v>199</v>
      </c>
      <c r="C1" s="40" t="s">
        <v>200</v>
      </c>
      <c r="D1" s="40" t="s">
        <v>201</v>
      </c>
      <c r="E1" s="40" t="s">
        <v>202</v>
      </c>
      <c r="F1" s="40" t="s">
        <v>203</v>
      </c>
      <c r="G1" s="40" t="s">
        <v>204</v>
      </c>
      <c r="H1" s="40" t="s">
        <v>205</v>
      </c>
      <c r="I1" s="40" t="s">
        <v>206</v>
      </c>
      <c r="J1" s="40" t="s">
        <v>190</v>
      </c>
      <c r="K1" s="40" t="s">
        <v>1434</v>
      </c>
      <c r="L1" s="40" t="s">
        <v>207</v>
      </c>
      <c r="M1" s="41" t="s">
        <v>208</v>
      </c>
    </row>
    <row r="2" spans="1:13" ht="23.25" customHeight="1" x14ac:dyDescent="0.35">
      <c r="A2" s="42" t="s">
        <v>209</v>
      </c>
      <c r="B2" s="43" t="s">
        <v>1435</v>
      </c>
      <c r="C2" s="43" t="s">
        <v>1435</v>
      </c>
      <c r="D2" s="43" t="s">
        <v>1435</v>
      </c>
      <c r="E2" s="43" t="s">
        <v>1435</v>
      </c>
      <c r="F2" s="43" t="s">
        <v>1435</v>
      </c>
      <c r="G2" s="44" t="s">
        <v>1436</v>
      </c>
      <c r="H2" s="18"/>
      <c r="J2" s="18"/>
      <c r="K2" s="44" t="s">
        <v>1436</v>
      </c>
      <c r="M2" s="45"/>
    </row>
    <row r="3" spans="1:13" x14ac:dyDescent="0.35">
      <c r="A3" s="42" t="s">
        <v>210</v>
      </c>
      <c r="B3" s="43" t="s">
        <v>1435</v>
      </c>
      <c r="C3" s="43" t="s">
        <v>1435</v>
      </c>
      <c r="D3" s="43" t="s">
        <v>1435</v>
      </c>
      <c r="E3" s="43" t="s">
        <v>1435</v>
      </c>
      <c r="F3" s="43" t="s">
        <v>1435</v>
      </c>
      <c r="G3" s="44" t="s">
        <v>1436</v>
      </c>
      <c r="H3" s="18"/>
      <c r="J3" s="44" t="s">
        <v>1436</v>
      </c>
      <c r="K3" s="44" t="s">
        <v>1436</v>
      </c>
      <c r="M3" s="45"/>
    </row>
    <row r="4" spans="1:13" x14ac:dyDescent="0.35">
      <c r="A4" s="42" t="s">
        <v>211</v>
      </c>
      <c r="B4" s="43" t="s">
        <v>1435</v>
      </c>
      <c r="C4" s="43" t="s">
        <v>1435</v>
      </c>
      <c r="D4" s="19"/>
      <c r="E4" s="18"/>
      <c r="F4" s="18"/>
      <c r="G4" s="18"/>
      <c r="H4" s="18"/>
      <c r="J4" s="18"/>
      <c r="K4" s="18"/>
      <c r="L4" s="44" t="s">
        <v>1436</v>
      </c>
      <c r="M4" s="45"/>
    </row>
    <row r="5" spans="1:13" x14ac:dyDescent="0.35">
      <c r="A5" s="42" t="s">
        <v>212</v>
      </c>
      <c r="B5" s="43" t="s">
        <v>1435</v>
      </c>
      <c r="C5" s="43" t="s">
        <v>1435</v>
      </c>
      <c r="D5" s="19"/>
      <c r="E5" s="18"/>
      <c r="F5" s="18"/>
      <c r="G5" s="18"/>
      <c r="H5" s="18"/>
      <c r="J5" s="18"/>
      <c r="K5" s="18"/>
      <c r="L5" s="44" t="s">
        <v>1436</v>
      </c>
      <c r="M5" s="45"/>
    </row>
    <row r="6" spans="1:13" ht="34.5" customHeight="1" x14ac:dyDescent="0.35">
      <c r="A6" s="42" t="s">
        <v>213</v>
      </c>
      <c r="B6" s="43" t="s">
        <v>1435</v>
      </c>
      <c r="C6" s="43" t="s">
        <v>1435</v>
      </c>
      <c r="D6" s="43" t="s">
        <v>1435</v>
      </c>
      <c r="E6" s="43" t="s">
        <v>1435</v>
      </c>
      <c r="F6" s="43" t="s">
        <v>1435</v>
      </c>
      <c r="G6" s="44" t="s">
        <v>1436</v>
      </c>
      <c r="H6" s="44" t="s">
        <v>1436</v>
      </c>
      <c r="J6" s="18"/>
      <c r="K6" s="44" t="s">
        <v>1436</v>
      </c>
      <c r="M6" s="45"/>
    </row>
    <row r="7" spans="1:13" x14ac:dyDescent="0.35">
      <c r="A7" s="42" t="s">
        <v>214</v>
      </c>
      <c r="B7" s="43" t="s">
        <v>1435</v>
      </c>
      <c r="C7" s="43" t="s">
        <v>1435</v>
      </c>
      <c r="D7" s="19"/>
      <c r="E7" s="18"/>
      <c r="F7" s="18"/>
      <c r="G7" s="18"/>
      <c r="H7" s="18"/>
      <c r="I7" s="44" t="s">
        <v>1436</v>
      </c>
      <c r="J7" s="18"/>
      <c r="M7" s="45"/>
    </row>
    <row r="8" spans="1:13" ht="34.5" customHeight="1" x14ac:dyDescent="0.35">
      <c r="A8" s="42" t="s">
        <v>215</v>
      </c>
      <c r="B8" s="43" t="s">
        <v>1435</v>
      </c>
      <c r="C8" s="43" t="s">
        <v>1435</v>
      </c>
      <c r="D8" s="19"/>
      <c r="E8" s="18"/>
      <c r="F8" s="18"/>
      <c r="G8" s="18"/>
      <c r="H8" s="18"/>
      <c r="I8" s="46"/>
      <c r="J8" s="18"/>
      <c r="L8" s="44" t="s">
        <v>1436</v>
      </c>
      <c r="M8" s="45"/>
    </row>
    <row r="9" spans="1:13" ht="34.5" customHeight="1" x14ac:dyDescent="0.35">
      <c r="A9" s="42" t="s">
        <v>216</v>
      </c>
      <c r="B9" s="43" t="s">
        <v>1435</v>
      </c>
      <c r="C9" s="43" t="s">
        <v>1435</v>
      </c>
      <c r="D9" s="19"/>
      <c r="E9" s="18"/>
      <c r="F9" s="18"/>
      <c r="G9" s="18"/>
      <c r="H9" s="18"/>
      <c r="I9" s="18"/>
      <c r="J9" s="18"/>
      <c r="M9" s="45"/>
    </row>
    <row r="10" spans="1:13" x14ac:dyDescent="0.35">
      <c r="A10" s="47" t="s">
        <v>217</v>
      </c>
      <c r="B10" s="43" t="s">
        <v>1435</v>
      </c>
      <c r="C10" s="43" t="s">
        <v>1435</v>
      </c>
      <c r="D10" s="19"/>
      <c r="E10" s="18"/>
      <c r="F10" s="18"/>
      <c r="G10" s="18"/>
      <c r="H10" s="18"/>
      <c r="I10" s="18"/>
      <c r="J10" s="18"/>
      <c r="L10" s="44" t="s">
        <v>1436</v>
      </c>
      <c r="M10" s="45"/>
    </row>
    <row r="11" spans="1:13" x14ac:dyDescent="0.35">
      <c r="A11" s="47" t="s">
        <v>218</v>
      </c>
      <c r="B11" s="43" t="s">
        <v>1435</v>
      </c>
      <c r="C11" s="19"/>
      <c r="D11" s="19"/>
      <c r="E11" s="18"/>
      <c r="F11" s="18"/>
      <c r="G11" s="18"/>
      <c r="H11" s="18"/>
      <c r="I11" s="18"/>
      <c r="J11" s="18"/>
      <c r="M11" s="44" t="s">
        <v>1436</v>
      </c>
    </row>
    <row r="12" spans="1:13" x14ac:dyDescent="0.35">
      <c r="A12" s="48" t="s">
        <v>219</v>
      </c>
      <c r="B12" s="43" t="s">
        <v>1435</v>
      </c>
      <c r="C12" s="49"/>
      <c r="D12" s="49"/>
      <c r="E12" s="49"/>
      <c r="F12" s="49"/>
      <c r="G12" s="49"/>
      <c r="H12" s="49"/>
      <c r="I12" s="49"/>
      <c r="J12" s="49"/>
      <c r="K12" s="50"/>
      <c r="L12" s="50"/>
      <c r="M12" s="51"/>
    </row>
    <row r="13" spans="1:13" x14ac:dyDescent="0.35">
      <c r="A13" s="43" t="s">
        <v>1441</v>
      </c>
      <c r="B13" s="121" t="s">
        <v>1437</v>
      </c>
      <c r="C13" s="121"/>
      <c r="D13" s="121"/>
      <c r="E13" s="121"/>
      <c r="F13" s="121"/>
      <c r="G13" s="121"/>
      <c r="H13" s="121"/>
      <c r="I13" s="121"/>
      <c r="J13" s="121"/>
      <c r="K13" s="121"/>
      <c r="L13" s="121"/>
      <c r="M13" s="121"/>
    </row>
    <row r="14" spans="1:13" x14ac:dyDescent="0.35">
      <c r="A14" s="44" t="s">
        <v>1442</v>
      </c>
      <c r="B14" s="121" t="s">
        <v>1438</v>
      </c>
      <c r="C14" s="121"/>
      <c r="D14" s="121"/>
      <c r="E14" s="121"/>
      <c r="F14" s="121"/>
      <c r="G14" s="121"/>
      <c r="H14" s="121"/>
      <c r="I14" s="121"/>
      <c r="J14" s="121"/>
      <c r="K14" s="121"/>
      <c r="L14" s="121"/>
      <c r="M14" s="121"/>
    </row>
    <row r="15" spans="1:13" x14ac:dyDescent="0.35">
      <c r="A15" s="20"/>
      <c r="B15" s="19"/>
      <c r="C15" s="19"/>
      <c r="D15" s="21"/>
      <c r="E15" s="21"/>
      <c r="F15" s="21"/>
      <c r="G15" s="21"/>
      <c r="H15" s="21"/>
    </row>
    <row r="16" spans="1:13" x14ac:dyDescent="0.35">
      <c r="A16" s="20"/>
      <c r="B16" s="19"/>
      <c r="C16" s="19"/>
      <c r="D16" s="21"/>
      <c r="E16" s="21"/>
      <c r="F16" s="21"/>
      <c r="G16" s="21"/>
      <c r="H16" s="21"/>
    </row>
    <row r="17" spans="1:8" x14ac:dyDescent="0.35">
      <c r="A17" s="20"/>
      <c r="B17" s="19"/>
      <c r="C17" s="19"/>
      <c r="D17" s="21"/>
      <c r="E17" s="21"/>
      <c r="F17" s="21"/>
      <c r="G17" s="21"/>
      <c r="H17" s="21"/>
    </row>
    <row r="18" spans="1:8" x14ac:dyDescent="0.35">
      <c r="A18" s="20"/>
      <c r="B18" s="19"/>
      <c r="C18" s="19"/>
      <c r="D18" s="21"/>
      <c r="E18" s="21"/>
      <c r="F18" s="21"/>
      <c r="G18" s="21"/>
      <c r="H18" s="21"/>
    </row>
    <row r="19" spans="1:8" x14ac:dyDescent="0.35">
      <c r="A19" s="20"/>
      <c r="B19" s="19"/>
      <c r="C19" s="19"/>
      <c r="D19" s="21"/>
      <c r="E19" s="21"/>
      <c r="F19" s="21"/>
      <c r="G19" s="21"/>
      <c r="H19" s="21"/>
    </row>
    <row r="20" spans="1:8" x14ac:dyDescent="0.35">
      <c r="A20" s="20"/>
      <c r="B20" s="19"/>
      <c r="C20" s="19"/>
      <c r="D20" s="21"/>
      <c r="E20" s="21"/>
      <c r="F20" s="21"/>
      <c r="G20" s="21"/>
      <c r="H20" s="21"/>
    </row>
    <row r="21" spans="1:8" x14ac:dyDescent="0.35">
      <c r="A21" s="20"/>
      <c r="B21" s="19"/>
      <c r="C21" s="19"/>
      <c r="D21" s="21"/>
      <c r="E21" s="21"/>
      <c r="F21" s="21"/>
      <c r="G21" s="21"/>
      <c r="H21" s="21"/>
    </row>
    <row r="22" spans="1:8" x14ac:dyDescent="0.35">
      <c r="A22" s="20"/>
      <c r="B22" s="19"/>
      <c r="C22" s="19"/>
      <c r="D22" s="21"/>
      <c r="E22" s="21"/>
      <c r="F22" s="21"/>
      <c r="G22" s="21"/>
      <c r="H22" s="21"/>
    </row>
    <row r="23" spans="1:8" x14ac:dyDescent="0.35">
      <c r="A23" s="20"/>
      <c r="B23" s="19"/>
      <c r="C23" s="19"/>
    </row>
    <row r="24" spans="1:8" x14ac:dyDescent="0.3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4"/>
  <sheetViews>
    <sheetView zoomScale="132" zoomScaleNormal="132" workbookViewId="0">
      <selection activeCell="D13" sqref="D13"/>
    </sheetView>
  </sheetViews>
  <sheetFormatPr defaultColWidth="8.81640625" defaultRowHeight="14.5" x14ac:dyDescent="0.35"/>
  <cols>
    <col min="1" max="1" width="37.453125" bestFit="1" customWidth="1"/>
    <col min="2" max="2" width="48.26953125" bestFit="1" customWidth="1"/>
    <col min="3" max="3" width="18.453125" customWidth="1"/>
    <col min="4" max="5" width="16.453125" customWidth="1"/>
    <col min="6" max="6" width="8.7265625" bestFit="1" customWidth="1"/>
    <col min="7" max="7" width="20.1796875" customWidth="1"/>
    <col min="8" max="8" width="19" customWidth="1"/>
    <col min="9" max="9" width="10.7265625" bestFit="1" customWidth="1"/>
    <col min="10" max="10" width="8.1796875" bestFit="1" customWidth="1"/>
    <col min="11" max="11" width="9.453125" bestFit="1" customWidth="1"/>
  </cols>
  <sheetData>
    <row r="1" spans="1:12" ht="69" x14ac:dyDescent="0.35">
      <c r="A1" s="112" t="s">
        <v>220</v>
      </c>
      <c r="B1" s="113" t="s">
        <v>221</v>
      </c>
      <c r="C1" s="113" t="s">
        <v>222</v>
      </c>
      <c r="D1" s="113" t="s">
        <v>223</v>
      </c>
      <c r="E1" s="113" t="s">
        <v>224</v>
      </c>
      <c r="F1" s="113" t="s">
        <v>225</v>
      </c>
      <c r="G1" s="113" t="s">
        <v>226</v>
      </c>
      <c r="H1" s="113" t="s">
        <v>227</v>
      </c>
      <c r="I1" s="113" t="s">
        <v>228</v>
      </c>
      <c r="J1" s="113" t="s">
        <v>229</v>
      </c>
      <c r="K1" s="113" t="s">
        <v>230</v>
      </c>
    </row>
    <row r="2" spans="1:12" ht="57" customHeight="1" x14ac:dyDescent="0.35">
      <c r="A2" s="104" t="s">
        <v>231</v>
      </c>
      <c r="B2" s="107" t="s">
        <v>232</v>
      </c>
      <c r="C2" s="104" t="s">
        <v>233</v>
      </c>
      <c r="D2" s="104" t="s">
        <v>234</v>
      </c>
      <c r="E2" s="104" t="s">
        <v>235</v>
      </c>
      <c r="F2" s="104" t="s">
        <v>67</v>
      </c>
      <c r="G2" s="104"/>
      <c r="H2" s="104" t="s">
        <v>236</v>
      </c>
      <c r="I2" s="109" t="s">
        <v>237</v>
      </c>
      <c r="J2" s="110"/>
      <c r="K2" s="110"/>
    </row>
    <row r="3" spans="1:12" s="105" customFormat="1" ht="30" x14ac:dyDescent="0.35">
      <c r="A3" s="102" t="s">
        <v>238</v>
      </c>
      <c r="B3" s="103" t="s">
        <v>239</v>
      </c>
      <c r="C3" s="104"/>
      <c r="D3" s="104" t="s">
        <v>240</v>
      </c>
      <c r="E3" s="104"/>
      <c r="F3" s="104" t="s">
        <v>241</v>
      </c>
      <c r="G3" s="104" t="s">
        <v>242</v>
      </c>
      <c r="H3" s="104" t="s">
        <v>243</v>
      </c>
      <c r="I3" s="104" t="s">
        <v>244</v>
      </c>
      <c r="J3" s="104"/>
      <c r="K3" s="104"/>
      <c r="L3" s="111"/>
    </row>
    <row r="4" spans="1:12" s="105" customFormat="1" ht="90.75" customHeight="1" x14ac:dyDescent="0.35">
      <c r="A4" s="114" t="s">
        <v>238</v>
      </c>
      <c r="B4" s="115" t="s">
        <v>245</v>
      </c>
      <c r="C4" s="116" t="s">
        <v>246</v>
      </c>
      <c r="D4" s="116" t="s">
        <v>240</v>
      </c>
      <c r="E4" s="116"/>
      <c r="F4" s="116"/>
      <c r="G4" s="116"/>
      <c r="H4" s="117"/>
      <c r="I4" s="118" t="s">
        <v>247</v>
      </c>
      <c r="J4" s="116"/>
      <c r="K4" s="116"/>
    </row>
    <row r="5" spans="1:12" s="105" customFormat="1" ht="60.75" customHeight="1" x14ac:dyDescent="0.35">
      <c r="A5" s="107" t="s">
        <v>238</v>
      </c>
      <c r="B5" s="103" t="s">
        <v>248</v>
      </c>
      <c r="C5" s="104" t="s">
        <v>246</v>
      </c>
      <c r="D5" s="104" t="s">
        <v>249</v>
      </c>
      <c r="E5" s="104"/>
      <c r="F5" s="104" t="s">
        <v>241</v>
      </c>
      <c r="G5" s="104" t="s">
        <v>242</v>
      </c>
      <c r="H5" s="104" t="s">
        <v>243</v>
      </c>
      <c r="I5" s="106" t="s">
        <v>250</v>
      </c>
      <c r="J5" s="104"/>
      <c r="K5" s="104"/>
    </row>
    <row r="6" spans="1:12" s="105" customFormat="1" ht="42.75" customHeight="1" x14ac:dyDescent="0.35">
      <c r="A6" s="107" t="s">
        <v>238</v>
      </c>
      <c r="B6" s="103" t="s">
        <v>251</v>
      </c>
      <c r="C6" s="104" t="s">
        <v>246</v>
      </c>
      <c r="D6" s="104" t="s">
        <v>252</v>
      </c>
      <c r="E6" s="104"/>
      <c r="F6" s="104" t="s">
        <v>241</v>
      </c>
      <c r="G6" s="104" t="s">
        <v>242</v>
      </c>
      <c r="H6" s="104" t="s">
        <v>253</v>
      </c>
      <c r="I6" s="104" t="s">
        <v>254</v>
      </c>
      <c r="J6" s="104"/>
      <c r="K6" s="104"/>
    </row>
    <row r="7" spans="1:12" s="105" customFormat="1" ht="30" customHeight="1" x14ac:dyDescent="0.35">
      <c r="A7" s="107" t="s">
        <v>238</v>
      </c>
      <c r="B7" s="103" t="s">
        <v>255</v>
      </c>
      <c r="C7" s="104" t="s">
        <v>246</v>
      </c>
      <c r="D7" s="104" t="s">
        <v>252</v>
      </c>
      <c r="E7" s="104"/>
      <c r="F7" s="104" t="s">
        <v>66</v>
      </c>
      <c r="G7" s="104" t="s">
        <v>256</v>
      </c>
      <c r="H7" s="104" t="s">
        <v>257</v>
      </c>
      <c r="I7" s="104" t="s">
        <v>258</v>
      </c>
      <c r="J7" s="104"/>
      <c r="K7" s="104"/>
    </row>
    <row r="8" spans="1:12" s="105" customFormat="1" ht="30" x14ac:dyDescent="0.35">
      <c r="A8" s="107" t="s">
        <v>238</v>
      </c>
      <c r="B8" s="103" t="s">
        <v>259</v>
      </c>
      <c r="C8" s="104" t="s">
        <v>246</v>
      </c>
      <c r="D8" s="104" t="s">
        <v>252</v>
      </c>
      <c r="E8" s="104"/>
      <c r="F8" s="122" t="s">
        <v>241</v>
      </c>
      <c r="G8" s="122" t="s">
        <v>242</v>
      </c>
      <c r="H8" s="122" t="s">
        <v>103</v>
      </c>
      <c r="I8" s="122" t="s">
        <v>260</v>
      </c>
      <c r="J8" s="122"/>
      <c r="K8" s="122"/>
    </row>
    <row r="9" spans="1:12" s="105" customFormat="1" ht="30" x14ac:dyDescent="0.35">
      <c r="A9" s="107" t="s">
        <v>238</v>
      </c>
      <c r="B9" s="103" t="s">
        <v>261</v>
      </c>
      <c r="C9" s="104" t="s">
        <v>246</v>
      </c>
      <c r="D9" s="104" t="s">
        <v>252</v>
      </c>
      <c r="E9" s="104"/>
      <c r="F9" s="122"/>
      <c r="G9" s="122"/>
      <c r="H9" s="122"/>
      <c r="I9" s="122"/>
      <c r="J9" s="122"/>
      <c r="K9" s="122"/>
    </row>
    <row r="10" spans="1:12" s="105" customFormat="1" ht="15" x14ac:dyDescent="0.35">
      <c r="A10" s="107" t="s">
        <v>238</v>
      </c>
      <c r="B10" s="103" t="s">
        <v>262</v>
      </c>
      <c r="C10" s="104" t="s">
        <v>246</v>
      </c>
      <c r="D10" s="104" t="s">
        <v>252</v>
      </c>
      <c r="E10" s="104"/>
      <c r="F10" s="104"/>
      <c r="G10" s="104"/>
      <c r="H10" s="104"/>
      <c r="I10" s="104"/>
      <c r="J10" s="104"/>
      <c r="K10" s="104"/>
    </row>
    <row r="11" spans="1:12" s="105" customFormat="1" ht="45.75" customHeight="1" x14ac:dyDescent="0.35">
      <c r="A11" s="107" t="s">
        <v>238</v>
      </c>
      <c r="B11" s="103" t="s">
        <v>263</v>
      </c>
      <c r="C11" s="104" t="s">
        <v>246</v>
      </c>
      <c r="D11" s="104" t="s">
        <v>240</v>
      </c>
      <c r="E11" s="104"/>
      <c r="F11" s="104" t="s">
        <v>241</v>
      </c>
      <c r="G11" s="104" t="s">
        <v>242</v>
      </c>
      <c r="H11" s="104" t="s">
        <v>103</v>
      </c>
      <c r="I11" s="104" t="s">
        <v>264</v>
      </c>
      <c r="J11" s="104"/>
      <c r="K11" s="104"/>
    </row>
    <row r="12" spans="1:12" s="105" customFormat="1" ht="15" customHeight="1" x14ac:dyDescent="0.35">
      <c r="A12" s="107"/>
      <c r="B12" s="108"/>
      <c r="C12" s="107"/>
      <c r="D12" s="107"/>
      <c r="E12" s="107"/>
      <c r="F12" s="107"/>
      <c r="G12" s="107"/>
      <c r="H12" s="107"/>
      <c r="I12" s="107"/>
      <c r="J12" s="104"/>
      <c r="K12" s="104"/>
    </row>
    <row r="13" spans="1:12" s="105" customFormat="1" ht="46.5" customHeight="1" x14ac:dyDescent="0.35">
      <c r="A13" s="107" t="s">
        <v>238</v>
      </c>
      <c r="B13" s="108" t="s">
        <v>265</v>
      </c>
      <c r="C13" s="104" t="s">
        <v>246</v>
      </c>
      <c r="D13" s="104"/>
      <c r="E13" s="104"/>
      <c r="F13" s="104" t="s">
        <v>266</v>
      </c>
      <c r="G13" s="104" t="s">
        <v>242</v>
      </c>
      <c r="H13" s="104" t="s">
        <v>267</v>
      </c>
      <c r="I13" s="104" t="s">
        <v>268</v>
      </c>
    </row>
    <row r="14" spans="1:12" ht="15" x14ac:dyDescent="0.35">
      <c r="H14" s="32"/>
    </row>
  </sheetData>
  <mergeCells count="6">
    <mergeCell ref="K8:K9"/>
    <mergeCell ref="F8:F9"/>
    <mergeCell ref="G8:G9"/>
    <mergeCell ref="H8:H9"/>
    <mergeCell ref="I8:I9"/>
    <mergeCell ref="J8:J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1640625" defaultRowHeight="14.5" x14ac:dyDescent="0.35"/>
  <cols>
    <col min="1" max="1" width="6.54296875" bestFit="1" customWidth="1"/>
    <col min="2" max="2" width="17.81640625" bestFit="1" customWidth="1"/>
    <col min="3" max="3" width="56.54296875" customWidth="1"/>
    <col min="4" max="4" width="24.1796875" customWidth="1"/>
  </cols>
  <sheetData>
    <row r="1" spans="1:4" ht="15" thickBot="1" x14ac:dyDescent="0.4">
      <c r="A1" s="2" t="s">
        <v>269</v>
      </c>
      <c r="B1" s="3" t="s">
        <v>270</v>
      </c>
      <c r="C1" s="3" t="s">
        <v>271</v>
      </c>
      <c r="D1" s="3" t="s">
        <v>272</v>
      </c>
    </row>
    <row r="2" spans="1:4" ht="28.5" thickBot="1" x14ac:dyDescent="0.4">
      <c r="A2" s="95" t="s">
        <v>273</v>
      </c>
      <c r="B2" s="3" t="s">
        <v>274</v>
      </c>
      <c r="C2" s="3" t="s">
        <v>275</v>
      </c>
      <c r="D2" s="3" t="s">
        <v>276</v>
      </c>
    </row>
    <row r="3" spans="1:4" ht="42.5" thickBot="1" x14ac:dyDescent="0.4">
      <c r="A3" s="95" t="s">
        <v>277</v>
      </c>
      <c r="B3" s="3" t="s">
        <v>278</v>
      </c>
      <c r="C3" s="3" t="s">
        <v>279</v>
      </c>
      <c r="D3" s="3" t="s">
        <v>279</v>
      </c>
    </row>
    <row r="4" spans="1:4" ht="28.5" thickBot="1" x14ac:dyDescent="0.4">
      <c r="A4" s="95" t="s">
        <v>280</v>
      </c>
      <c r="B4" s="3" t="s">
        <v>281</v>
      </c>
      <c r="C4" s="3" t="s">
        <v>282</v>
      </c>
      <c r="D4" s="3" t="s">
        <v>283</v>
      </c>
    </row>
    <row r="5" spans="1:4" ht="42.5" thickBot="1" x14ac:dyDescent="0.4">
      <c r="A5" s="95" t="s">
        <v>284</v>
      </c>
      <c r="B5" s="3" t="s">
        <v>285</v>
      </c>
      <c r="C5" s="3" t="s">
        <v>286</v>
      </c>
      <c r="D5" s="3" t="s">
        <v>287</v>
      </c>
    </row>
    <row r="6" spans="1:4" ht="70.5" thickBot="1" x14ac:dyDescent="0.4">
      <c r="A6" s="95" t="s">
        <v>288</v>
      </c>
      <c r="B6" s="3" t="s">
        <v>289</v>
      </c>
      <c r="C6" s="3" t="s">
        <v>290</v>
      </c>
      <c r="D6" s="3" t="s">
        <v>291</v>
      </c>
    </row>
    <row r="7" spans="1:4" ht="28.5" thickBot="1" x14ac:dyDescent="0.4">
      <c r="A7" s="95" t="s">
        <v>292</v>
      </c>
      <c r="B7" s="3" t="s">
        <v>293</v>
      </c>
      <c r="C7" s="3" t="s">
        <v>294</v>
      </c>
      <c r="D7" s="3" t="s">
        <v>295</v>
      </c>
    </row>
    <row r="8" spans="1:4" ht="28.5" thickBot="1" x14ac:dyDescent="0.4">
      <c r="A8" s="95" t="s">
        <v>296</v>
      </c>
      <c r="B8" s="3" t="s">
        <v>297</v>
      </c>
      <c r="C8" s="3" t="s">
        <v>298</v>
      </c>
      <c r="D8" s="3" t="s">
        <v>299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4.5" x14ac:dyDescent="0.35"/>
  <cols>
    <col min="1" max="1" width="6.54296875" bestFit="1" customWidth="1"/>
    <col min="2" max="2" width="30.54296875" customWidth="1"/>
  </cols>
  <sheetData>
    <row r="1" spans="1:2" ht="15" thickBot="1" x14ac:dyDescent="0.4">
      <c r="A1" s="2" t="s">
        <v>269</v>
      </c>
      <c r="B1" s="2" t="s">
        <v>300</v>
      </c>
    </row>
    <row r="2" spans="1:2" ht="42.5" thickBot="1" x14ac:dyDescent="0.4">
      <c r="A2" s="2" t="s">
        <v>273</v>
      </c>
      <c r="B2" s="2" t="s">
        <v>301</v>
      </c>
    </row>
    <row r="3" spans="1:2" ht="28.5" thickBot="1" x14ac:dyDescent="0.4">
      <c r="A3" s="2" t="s">
        <v>277</v>
      </c>
      <c r="B3" s="2" t="s">
        <v>302</v>
      </c>
    </row>
    <row r="4" spans="1:2" ht="42.5" thickBot="1" x14ac:dyDescent="0.4">
      <c r="A4" s="2" t="s">
        <v>280</v>
      </c>
      <c r="B4" s="2" t="s">
        <v>303</v>
      </c>
    </row>
    <row r="5" spans="1:2" ht="42.5" thickBot="1" x14ac:dyDescent="0.4">
      <c r="A5" s="2" t="s">
        <v>284</v>
      </c>
      <c r="B5" s="2" t="s">
        <v>304</v>
      </c>
    </row>
    <row r="6" spans="1:2" ht="28.5" thickBot="1" x14ac:dyDescent="0.4">
      <c r="A6" s="2" t="s">
        <v>288</v>
      </c>
      <c r="B6" s="2" t="s">
        <v>305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4.5" x14ac:dyDescent="0.35"/>
  <cols>
    <col min="1" max="1" width="6.54296875" bestFit="1" customWidth="1"/>
    <col min="2" max="2" width="53.1796875" customWidth="1"/>
  </cols>
  <sheetData>
    <row r="1" spans="1:2" ht="15" thickBot="1" x14ac:dyDescent="0.4">
      <c r="A1" s="2" t="s">
        <v>269</v>
      </c>
      <c r="B1" s="2" t="s">
        <v>300</v>
      </c>
    </row>
    <row r="2" spans="1:2" ht="15" thickBot="1" x14ac:dyDescent="0.4">
      <c r="A2" s="2" t="s">
        <v>273</v>
      </c>
      <c r="B2" s="2" t="s">
        <v>306</v>
      </c>
    </row>
    <row r="3" spans="1:2" ht="15" thickBot="1" x14ac:dyDescent="0.4">
      <c r="A3" s="2" t="s">
        <v>277</v>
      </c>
      <c r="B3" s="2" t="s">
        <v>307</v>
      </c>
    </row>
    <row r="4" spans="1:2" ht="28.5" thickBot="1" x14ac:dyDescent="0.4">
      <c r="A4" s="2" t="s">
        <v>280</v>
      </c>
      <c r="B4" s="2" t="s">
        <v>308</v>
      </c>
    </row>
    <row r="5" spans="1:2" ht="28.5" thickBot="1" x14ac:dyDescent="0.4">
      <c r="A5" s="2" t="s">
        <v>284</v>
      </c>
      <c r="B5" s="2" t="s">
        <v>309</v>
      </c>
    </row>
    <row r="6" spans="1:2" ht="15" thickBot="1" x14ac:dyDescent="0.4">
      <c r="A6" s="2" t="s">
        <v>288</v>
      </c>
      <c r="B6" s="2" t="s">
        <v>310</v>
      </c>
    </row>
    <row r="7" spans="1:2" ht="15" thickBot="1" x14ac:dyDescent="0.4">
      <c r="A7" s="2" t="s">
        <v>292</v>
      </c>
      <c r="B7" s="2" t="s">
        <v>311</v>
      </c>
    </row>
    <row r="8" spans="1:2" ht="28.5" thickBot="1" x14ac:dyDescent="0.4">
      <c r="A8" s="2" t="s">
        <v>296</v>
      </c>
      <c r="B8" s="2" t="s">
        <v>312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topLeftCell="A10" workbookViewId="0">
      <selection activeCell="C23" sqref="C23"/>
    </sheetView>
  </sheetViews>
  <sheetFormatPr defaultRowHeight="14.5" x14ac:dyDescent="0.35"/>
  <cols>
    <col min="1" max="1" width="7.453125" bestFit="1" customWidth="1"/>
    <col min="2" max="2" width="16.7265625" bestFit="1" customWidth="1"/>
    <col min="3" max="3" width="58.81640625" bestFit="1" customWidth="1"/>
    <col min="4" max="4" width="22.1796875" bestFit="1" customWidth="1"/>
    <col min="5" max="5" width="64.81640625" bestFit="1" customWidth="1"/>
  </cols>
  <sheetData>
    <row r="1" spans="1:5" ht="26" x14ac:dyDescent="0.35">
      <c r="A1" s="52" t="s">
        <v>313</v>
      </c>
      <c r="B1" s="52" t="s">
        <v>314</v>
      </c>
      <c r="C1" s="52" t="s">
        <v>315</v>
      </c>
      <c r="D1" s="52" t="s">
        <v>198</v>
      </c>
      <c r="E1" s="53" t="s">
        <v>316</v>
      </c>
    </row>
    <row r="2" spans="1:5" x14ac:dyDescent="0.35">
      <c r="A2" s="125" t="s">
        <v>317</v>
      </c>
      <c r="B2" s="125" t="s">
        <v>318</v>
      </c>
      <c r="C2" s="123" t="s">
        <v>1424</v>
      </c>
      <c r="D2" s="54" t="s">
        <v>1391</v>
      </c>
      <c r="E2" s="53"/>
    </row>
    <row r="3" spans="1:5" x14ac:dyDescent="0.35">
      <c r="A3" s="126"/>
      <c r="B3" s="126"/>
      <c r="C3" s="124"/>
      <c r="D3" s="55" t="s">
        <v>1419</v>
      </c>
      <c r="E3" s="53"/>
    </row>
    <row r="4" spans="1:5" x14ac:dyDescent="0.35">
      <c r="A4" s="125" t="s">
        <v>319</v>
      </c>
      <c r="B4" s="127" t="s">
        <v>320</v>
      </c>
      <c r="C4" s="123" t="s">
        <v>1425</v>
      </c>
      <c r="D4" s="54" t="s">
        <v>1420</v>
      </c>
      <c r="E4" s="53"/>
    </row>
    <row r="5" spans="1:5" x14ac:dyDescent="0.35">
      <c r="A5" s="126"/>
      <c r="B5" s="128"/>
      <c r="C5" s="124"/>
      <c r="D5" s="55" t="s">
        <v>1421</v>
      </c>
      <c r="E5" s="53"/>
    </row>
    <row r="6" spans="1:5" x14ac:dyDescent="0.35">
      <c r="A6" s="56" t="s">
        <v>321</v>
      </c>
      <c r="B6" s="56" t="s">
        <v>322</v>
      </c>
      <c r="C6" s="57" t="s">
        <v>1426</v>
      </c>
      <c r="D6" s="54" t="s">
        <v>1422</v>
      </c>
      <c r="E6" s="53"/>
    </row>
    <row r="7" spans="1:5" x14ac:dyDescent="0.35">
      <c r="A7" s="56" t="s">
        <v>323</v>
      </c>
      <c r="B7" s="58" t="s">
        <v>324</v>
      </c>
      <c r="C7" s="59" t="s">
        <v>1427</v>
      </c>
      <c r="D7" s="59" t="s">
        <v>213</v>
      </c>
      <c r="E7" s="60"/>
    </row>
    <row r="8" spans="1:5" x14ac:dyDescent="0.35">
      <c r="A8" s="56" t="s">
        <v>325</v>
      </c>
      <c r="B8" s="56" t="s">
        <v>1430</v>
      </c>
      <c r="C8" s="62" t="s">
        <v>1433</v>
      </c>
      <c r="D8" s="59" t="s">
        <v>1392</v>
      </c>
      <c r="E8" s="53"/>
    </row>
    <row r="9" spans="1:5" x14ac:dyDescent="0.35">
      <c r="A9" s="63"/>
      <c r="B9" s="63"/>
      <c r="C9" s="64"/>
      <c r="D9" s="65" t="s">
        <v>210</v>
      </c>
    </row>
    <row r="10" spans="1:5" x14ac:dyDescent="0.35">
      <c r="A10" s="63" t="s">
        <v>326</v>
      </c>
      <c r="B10" s="66" t="s">
        <v>327</v>
      </c>
      <c r="C10" s="67" t="s">
        <v>209</v>
      </c>
      <c r="D10" s="67" t="s">
        <v>1439</v>
      </c>
      <c r="E10" s="53"/>
    </row>
    <row r="11" spans="1:5" x14ac:dyDescent="0.35">
      <c r="A11" s="56" t="s">
        <v>328</v>
      </c>
      <c r="B11" s="56" t="s">
        <v>1431</v>
      </c>
      <c r="C11" s="62" t="s">
        <v>1423</v>
      </c>
      <c r="D11" s="59" t="s">
        <v>1393</v>
      </c>
      <c r="E11" s="53"/>
    </row>
    <row r="12" spans="1:5" x14ac:dyDescent="0.35">
      <c r="A12" s="63"/>
      <c r="B12" s="63"/>
      <c r="C12" s="64"/>
      <c r="D12" s="67" t="s">
        <v>1394</v>
      </c>
      <c r="E12" s="53"/>
    </row>
    <row r="13" spans="1:5" x14ac:dyDescent="0.35">
      <c r="A13" s="61"/>
      <c r="B13" s="63"/>
      <c r="C13" s="64"/>
      <c r="D13" s="67" t="s">
        <v>1395</v>
      </c>
      <c r="E13" s="53"/>
    </row>
    <row r="14" spans="1:5" x14ac:dyDescent="0.35">
      <c r="A14" s="61"/>
      <c r="B14" s="63"/>
      <c r="C14" s="64"/>
      <c r="D14" s="67" t="s">
        <v>1396</v>
      </c>
      <c r="E14" s="53"/>
    </row>
    <row r="15" spans="1:5" x14ac:dyDescent="0.35">
      <c r="A15" s="61"/>
      <c r="B15" s="63"/>
      <c r="C15" s="64"/>
      <c r="D15" s="67" t="s">
        <v>1397</v>
      </c>
      <c r="E15" s="53"/>
    </row>
    <row r="16" spans="1:5" x14ac:dyDescent="0.35">
      <c r="A16" s="61"/>
      <c r="B16" s="63"/>
      <c r="C16" s="56" t="s">
        <v>329</v>
      </c>
      <c r="D16" s="59" t="s">
        <v>1398</v>
      </c>
      <c r="E16" s="53"/>
    </row>
    <row r="17" spans="1:5" x14ac:dyDescent="0.35">
      <c r="A17" s="61"/>
      <c r="B17" s="63"/>
      <c r="C17" s="63"/>
      <c r="D17" s="67" t="s">
        <v>1399</v>
      </c>
      <c r="E17" s="53"/>
    </row>
    <row r="18" spans="1:5" x14ac:dyDescent="0.35">
      <c r="A18" s="61"/>
      <c r="B18" s="63"/>
      <c r="C18" s="63"/>
      <c r="D18" s="67" t="s">
        <v>1400</v>
      </c>
      <c r="E18" s="53"/>
    </row>
    <row r="19" spans="1:5" x14ac:dyDescent="0.35">
      <c r="A19" s="61"/>
      <c r="B19" s="63"/>
      <c r="C19" s="63" t="s">
        <v>330</v>
      </c>
      <c r="D19" s="67" t="s">
        <v>1401</v>
      </c>
      <c r="E19" s="53"/>
    </row>
    <row r="20" spans="1:5" x14ac:dyDescent="0.35">
      <c r="A20" s="61"/>
      <c r="B20" s="63"/>
      <c r="C20" s="63" t="s">
        <v>331</v>
      </c>
      <c r="D20" s="67" t="s">
        <v>1402</v>
      </c>
      <c r="E20" s="53"/>
    </row>
    <row r="21" spans="1:5" x14ac:dyDescent="0.35">
      <c r="A21" s="61"/>
      <c r="B21" s="63"/>
      <c r="C21" s="63"/>
      <c r="D21" s="67" t="s">
        <v>1403</v>
      </c>
      <c r="E21" s="53"/>
    </row>
    <row r="22" spans="1:5" x14ac:dyDescent="0.35">
      <c r="A22" s="63"/>
      <c r="B22" s="63"/>
      <c r="C22" s="68" t="s">
        <v>1404</v>
      </c>
      <c r="D22" s="68" t="s">
        <v>1440</v>
      </c>
      <c r="E22" s="53"/>
    </row>
    <row r="23" spans="1:5" x14ac:dyDescent="0.35">
      <c r="A23" s="56" t="s">
        <v>332</v>
      </c>
      <c r="B23" s="56" t="s">
        <v>333</v>
      </c>
      <c r="C23" s="69" t="s">
        <v>334</v>
      </c>
      <c r="D23" s="70" t="s">
        <v>1405</v>
      </c>
      <c r="E23" s="53"/>
    </row>
    <row r="24" spans="1:5" x14ac:dyDescent="0.35">
      <c r="A24" s="63"/>
      <c r="B24" s="63"/>
      <c r="C24" s="71"/>
      <c r="D24" s="67" t="s">
        <v>1406</v>
      </c>
      <c r="E24" s="53"/>
    </row>
    <row r="25" spans="1:5" x14ac:dyDescent="0.35">
      <c r="A25" s="63"/>
      <c r="B25" s="63"/>
      <c r="C25" s="71"/>
      <c r="D25" s="67" t="s">
        <v>1407</v>
      </c>
      <c r="E25" s="53"/>
    </row>
    <row r="26" spans="1:5" x14ac:dyDescent="0.35">
      <c r="A26" s="63"/>
      <c r="B26" s="63"/>
      <c r="C26" s="71"/>
      <c r="D26" s="67" t="s">
        <v>1408</v>
      </c>
      <c r="E26" s="53"/>
    </row>
    <row r="27" spans="1:5" x14ac:dyDescent="0.35">
      <c r="A27" s="63"/>
      <c r="B27" s="63"/>
      <c r="C27" s="71"/>
      <c r="D27" s="67" t="s">
        <v>1409</v>
      </c>
      <c r="E27" s="53"/>
    </row>
    <row r="28" spans="1:5" x14ac:dyDescent="0.35">
      <c r="A28" s="63"/>
      <c r="B28" s="63"/>
      <c r="C28" s="71"/>
      <c r="D28" s="67" t="s">
        <v>1410</v>
      </c>
      <c r="E28" s="53"/>
    </row>
    <row r="29" spans="1:5" x14ac:dyDescent="0.35">
      <c r="A29" s="63"/>
      <c r="B29" s="63"/>
      <c r="C29" s="71"/>
      <c r="D29" s="67" t="s">
        <v>1411</v>
      </c>
      <c r="E29" s="53"/>
    </row>
    <row r="30" spans="1:5" x14ac:dyDescent="0.35">
      <c r="A30" s="63"/>
      <c r="B30" s="63"/>
      <c r="C30" s="71"/>
      <c r="D30" s="67" t="s">
        <v>1412</v>
      </c>
      <c r="E30" s="53"/>
    </row>
    <row r="31" spans="1:5" x14ac:dyDescent="0.35">
      <c r="A31" s="63"/>
      <c r="B31" s="63"/>
      <c r="C31" s="63" t="s">
        <v>335</v>
      </c>
      <c r="D31" s="67" t="s">
        <v>1413</v>
      </c>
      <c r="E31" s="53"/>
    </row>
    <row r="32" spans="1:5" x14ac:dyDescent="0.35">
      <c r="A32" s="63"/>
      <c r="B32" s="63"/>
      <c r="C32" s="63"/>
      <c r="D32" s="67" t="s">
        <v>1414</v>
      </c>
      <c r="E32" s="53"/>
    </row>
    <row r="33" spans="1:5" x14ac:dyDescent="0.35">
      <c r="A33" s="63"/>
      <c r="B33" s="63"/>
      <c r="C33" s="63"/>
      <c r="D33" s="67" t="s">
        <v>1415</v>
      </c>
      <c r="E33" s="53"/>
    </row>
    <row r="34" spans="1:5" x14ac:dyDescent="0.35">
      <c r="A34" s="63"/>
      <c r="B34" s="63"/>
      <c r="C34" s="63"/>
      <c r="D34" s="67" t="s">
        <v>1416</v>
      </c>
      <c r="E34" s="53"/>
    </row>
    <row r="35" spans="1:5" x14ac:dyDescent="0.35">
      <c r="A35" s="56" t="s">
        <v>336</v>
      </c>
      <c r="B35" s="72" t="s">
        <v>1432</v>
      </c>
      <c r="C35" s="73" t="s">
        <v>337</v>
      </c>
      <c r="D35" s="74" t="s">
        <v>1417</v>
      </c>
      <c r="E35" s="53"/>
    </row>
    <row r="36" spans="1:5" x14ac:dyDescent="0.35">
      <c r="A36" s="63"/>
      <c r="B36" s="75"/>
      <c r="C36" s="71" t="s">
        <v>338</v>
      </c>
      <c r="D36" s="76" t="s">
        <v>211</v>
      </c>
      <c r="E36" s="53"/>
    </row>
    <row r="37" spans="1:5" x14ac:dyDescent="0.35">
      <c r="A37" s="63"/>
      <c r="B37" s="75"/>
      <c r="C37" s="71" t="s">
        <v>339</v>
      </c>
      <c r="D37" s="76" t="s">
        <v>212</v>
      </c>
      <c r="E37" s="53"/>
    </row>
    <row r="38" spans="1:5" x14ac:dyDescent="0.35">
      <c r="A38" s="63"/>
      <c r="B38" s="77" t="s">
        <v>340</v>
      </c>
      <c r="C38" s="77" t="s">
        <v>341</v>
      </c>
      <c r="D38" s="78" t="s">
        <v>1418</v>
      </c>
      <c r="E38" s="53"/>
    </row>
    <row r="39" spans="1:5" x14ac:dyDescent="0.35">
      <c r="A39" s="56" t="s">
        <v>342</v>
      </c>
      <c r="B39" s="63" t="s">
        <v>343</v>
      </c>
      <c r="C39" s="63" t="s">
        <v>344</v>
      </c>
      <c r="D39" s="71"/>
      <c r="E39" s="53"/>
    </row>
  </sheetData>
  <mergeCells count="6">
    <mergeCell ref="C2:C3"/>
    <mergeCell ref="A4:A5"/>
    <mergeCell ref="B4:B5"/>
    <mergeCell ref="C4:C5"/>
    <mergeCell ref="A2:A3"/>
    <mergeCell ref="B2:B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40"/>
  <sheetViews>
    <sheetView workbookViewId="0">
      <selection activeCell="M12" sqref="M12"/>
    </sheetView>
  </sheetViews>
  <sheetFormatPr defaultRowHeight="14.5" x14ac:dyDescent="0.35"/>
  <sheetData>
    <row r="1" spans="1:8" ht="15.5" x14ac:dyDescent="0.35">
      <c r="A1" s="79" t="s">
        <v>345</v>
      </c>
      <c r="B1" s="79" t="s">
        <v>346</v>
      </c>
      <c r="C1" s="79" t="s">
        <v>347</v>
      </c>
      <c r="D1" s="79" t="s">
        <v>348</v>
      </c>
      <c r="E1" s="79" t="s">
        <v>349</v>
      </c>
      <c r="F1" s="79" t="s">
        <v>350</v>
      </c>
      <c r="G1" s="79"/>
      <c r="H1" s="79" t="s">
        <v>351</v>
      </c>
    </row>
    <row r="2" spans="1:8" ht="15.5" x14ac:dyDescent="0.35">
      <c r="A2" s="80" t="s">
        <v>352</v>
      </c>
      <c r="B2" s="80" t="s">
        <v>353</v>
      </c>
      <c r="C2" s="80" t="s">
        <v>354</v>
      </c>
      <c r="D2" s="80" t="s">
        <v>355</v>
      </c>
      <c r="E2" s="81" t="s">
        <v>356</v>
      </c>
      <c r="F2" s="80" t="s">
        <v>357</v>
      </c>
      <c r="G2" s="80" t="s">
        <v>358</v>
      </c>
      <c r="H2" s="80" t="s">
        <v>359</v>
      </c>
    </row>
    <row r="3" spans="1:8" ht="15.5" x14ac:dyDescent="0.35">
      <c r="A3" s="80" t="s">
        <v>352</v>
      </c>
      <c r="B3" s="80" t="s">
        <v>360</v>
      </c>
      <c r="C3" s="80" t="s">
        <v>354</v>
      </c>
      <c r="D3" s="80" t="s">
        <v>361</v>
      </c>
      <c r="E3" s="81" t="s">
        <v>362</v>
      </c>
      <c r="F3" s="80" t="s">
        <v>363</v>
      </c>
      <c r="G3" s="80" t="s">
        <v>358</v>
      </c>
      <c r="H3" s="80" t="s">
        <v>364</v>
      </c>
    </row>
    <row r="4" spans="1:8" ht="15.5" x14ac:dyDescent="0.35">
      <c r="A4" s="80" t="s">
        <v>352</v>
      </c>
      <c r="B4" s="80" t="s">
        <v>365</v>
      </c>
      <c r="C4" s="80" t="s">
        <v>354</v>
      </c>
      <c r="D4" s="80" t="s">
        <v>366</v>
      </c>
      <c r="E4" s="81" t="s">
        <v>367</v>
      </c>
      <c r="F4" s="80" t="s">
        <v>368</v>
      </c>
      <c r="G4" s="80" t="s">
        <v>358</v>
      </c>
      <c r="H4" s="80" t="s">
        <v>369</v>
      </c>
    </row>
    <row r="5" spans="1:8" ht="15.5" x14ac:dyDescent="0.35">
      <c r="A5" s="80" t="s">
        <v>370</v>
      </c>
      <c r="B5" s="80" t="s">
        <v>371</v>
      </c>
      <c r="C5" s="80" t="s">
        <v>354</v>
      </c>
      <c r="D5" s="80" t="s">
        <v>372</v>
      </c>
      <c r="E5" s="81" t="s">
        <v>373</v>
      </c>
      <c r="F5" s="80" t="s">
        <v>374</v>
      </c>
      <c r="G5" s="80" t="s">
        <v>375</v>
      </c>
      <c r="H5" s="80" t="s">
        <v>369</v>
      </c>
    </row>
    <row r="6" spans="1:8" ht="15.5" x14ac:dyDescent="0.35">
      <c r="A6" s="80" t="s">
        <v>370</v>
      </c>
      <c r="B6" s="80" t="s">
        <v>376</v>
      </c>
      <c r="C6" s="80" t="s">
        <v>354</v>
      </c>
      <c r="D6" s="80" t="s">
        <v>377</v>
      </c>
      <c r="E6" s="81" t="s">
        <v>378</v>
      </c>
      <c r="F6" s="80" t="s">
        <v>379</v>
      </c>
      <c r="G6" s="80" t="s">
        <v>375</v>
      </c>
      <c r="H6" s="80" t="s">
        <v>380</v>
      </c>
    </row>
    <row r="7" spans="1:8" ht="15.5" x14ac:dyDescent="0.35">
      <c r="A7" s="80" t="s">
        <v>352</v>
      </c>
      <c r="B7" s="80" t="s">
        <v>381</v>
      </c>
      <c r="C7" s="80" t="s">
        <v>354</v>
      </c>
      <c r="D7" s="80" t="s">
        <v>382</v>
      </c>
      <c r="E7" s="81" t="s">
        <v>383</v>
      </c>
      <c r="F7" s="80" t="s">
        <v>384</v>
      </c>
      <c r="G7" s="80" t="s">
        <v>358</v>
      </c>
      <c r="H7" s="80" t="s">
        <v>380</v>
      </c>
    </row>
    <row r="8" spans="1:8" ht="15.5" x14ac:dyDescent="0.35">
      <c r="A8" s="80" t="s">
        <v>370</v>
      </c>
      <c r="B8" s="80" t="s">
        <v>385</v>
      </c>
      <c r="C8" s="80" t="s">
        <v>354</v>
      </c>
      <c r="D8" s="80" t="s">
        <v>386</v>
      </c>
      <c r="E8" s="81" t="s">
        <v>387</v>
      </c>
      <c r="F8" s="80" t="s">
        <v>388</v>
      </c>
      <c r="G8" s="80" t="s">
        <v>358</v>
      </c>
      <c r="H8" s="80" t="s">
        <v>364</v>
      </c>
    </row>
    <row r="9" spans="1:8" ht="15.5" x14ac:dyDescent="0.35">
      <c r="A9" s="80" t="s">
        <v>370</v>
      </c>
      <c r="B9" s="80" t="s">
        <v>389</v>
      </c>
      <c r="C9" s="80" t="s">
        <v>354</v>
      </c>
      <c r="D9" s="80" t="s">
        <v>390</v>
      </c>
      <c r="E9" s="81" t="s">
        <v>391</v>
      </c>
      <c r="F9" s="80" t="s">
        <v>392</v>
      </c>
      <c r="G9" s="80" t="s">
        <v>358</v>
      </c>
      <c r="H9" s="80" t="s">
        <v>393</v>
      </c>
    </row>
    <row r="10" spans="1:8" ht="15.5" x14ac:dyDescent="0.35">
      <c r="A10" s="80" t="s">
        <v>370</v>
      </c>
      <c r="B10" s="80" t="s">
        <v>394</v>
      </c>
      <c r="C10" s="80" t="s">
        <v>354</v>
      </c>
      <c r="D10" s="80" t="s">
        <v>395</v>
      </c>
      <c r="E10" s="81" t="s">
        <v>396</v>
      </c>
      <c r="F10" s="80" t="s">
        <v>397</v>
      </c>
      <c r="G10" s="80" t="s">
        <v>375</v>
      </c>
      <c r="H10" s="80" t="s">
        <v>393</v>
      </c>
    </row>
    <row r="11" spans="1:8" ht="15.5" x14ac:dyDescent="0.35">
      <c r="A11" s="80" t="s">
        <v>370</v>
      </c>
      <c r="B11" s="80" t="s">
        <v>398</v>
      </c>
      <c r="C11" s="80" t="s">
        <v>354</v>
      </c>
      <c r="D11" s="80" t="s">
        <v>399</v>
      </c>
      <c r="E11" s="81" t="s">
        <v>400</v>
      </c>
      <c r="F11" s="80" t="s">
        <v>401</v>
      </c>
      <c r="G11" s="80" t="s">
        <v>375</v>
      </c>
      <c r="H11" s="80" t="s">
        <v>402</v>
      </c>
    </row>
    <row r="12" spans="1:8" ht="15.5" x14ac:dyDescent="0.35">
      <c r="A12" s="80" t="s">
        <v>370</v>
      </c>
      <c r="B12" s="80" t="s">
        <v>403</v>
      </c>
      <c r="C12" s="80" t="s">
        <v>354</v>
      </c>
      <c r="D12" s="80" t="s">
        <v>404</v>
      </c>
      <c r="E12" s="81" t="s">
        <v>405</v>
      </c>
      <c r="F12" s="80" t="s">
        <v>406</v>
      </c>
      <c r="G12" s="80" t="s">
        <v>358</v>
      </c>
      <c r="H12" s="80" t="s">
        <v>402</v>
      </c>
    </row>
    <row r="13" spans="1:8" ht="15.5" x14ac:dyDescent="0.35">
      <c r="A13" s="80" t="s">
        <v>370</v>
      </c>
      <c r="B13" s="80" t="s">
        <v>407</v>
      </c>
      <c r="C13" s="80" t="s">
        <v>354</v>
      </c>
      <c r="D13" s="80" t="s">
        <v>408</v>
      </c>
      <c r="E13" s="81" t="s">
        <v>409</v>
      </c>
      <c r="F13" s="80" t="s">
        <v>410</v>
      </c>
      <c r="G13" s="80" t="s">
        <v>358</v>
      </c>
      <c r="H13" s="80" t="s">
        <v>364</v>
      </c>
    </row>
    <row r="14" spans="1:8" ht="15.5" x14ac:dyDescent="0.35">
      <c r="A14" s="80" t="s">
        <v>370</v>
      </c>
      <c r="B14" s="80" t="s">
        <v>411</v>
      </c>
      <c r="C14" s="80" t="s">
        <v>354</v>
      </c>
      <c r="D14" s="80" t="s">
        <v>412</v>
      </c>
      <c r="E14" s="81" t="s">
        <v>413</v>
      </c>
      <c r="F14" s="80" t="s">
        <v>414</v>
      </c>
      <c r="G14" s="80" t="s">
        <v>358</v>
      </c>
      <c r="H14" s="80" t="s">
        <v>415</v>
      </c>
    </row>
    <row r="15" spans="1:8" ht="15.5" x14ac:dyDescent="0.35">
      <c r="A15" s="80" t="s">
        <v>370</v>
      </c>
      <c r="B15" s="80" t="s">
        <v>416</v>
      </c>
      <c r="C15" s="80" t="s">
        <v>354</v>
      </c>
      <c r="D15" s="80" t="s">
        <v>417</v>
      </c>
      <c r="E15" s="81" t="s">
        <v>418</v>
      </c>
      <c r="F15" s="80" t="s">
        <v>419</v>
      </c>
      <c r="G15" s="80" t="s">
        <v>375</v>
      </c>
      <c r="H15" s="80" t="s">
        <v>415</v>
      </c>
    </row>
    <row r="16" spans="1:8" ht="15.5" x14ac:dyDescent="0.35">
      <c r="A16" s="80" t="s">
        <v>370</v>
      </c>
      <c r="B16" s="80" t="s">
        <v>420</v>
      </c>
      <c r="C16" s="80" t="s">
        <v>354</v>
      </c>
      <c r="D16" s="80" t="s">
        <v>421</v>
      </c>
      <c r="E16" s="81" t="s">
        <v>422</v>
      </c>
      <c r="F16" s="80" t="s">
        <v>423</v>
      </c>
      <c r="G16" s="80" t="s">
        <v>375</v>
      </c>
      <c r="H16" s="80" t="s">
        <v>424</v>
      </c>
    </row>
    <row r="17" spans="1:8" ht="15.5" x14ac:dyDescent="0.35">
      <c r="A17" s="80" t="s">
        <v>370</v>
      </c>
      <c r="B17" s="80" t="s">
        <v>425</v>
      </c>
      <c r="C17" s="80" t="s">
        <v>354</v>
      </c>
      <c r="D17" s="80" t="s">
        <v>426</v>
      </c>
      <c r="E17" s="81" t="s">
        <v>427</v>
      </c>
      <c r="F17" s="80" t="s">
        <v>428</v>
      </c>
      <c r="G17" s="80" t="s">
        <v>358</v>
      </c>
      <c r="H17" s="80" t="s">
        <v>424</v>
      </c>
    </row>
    <row r="18" spans="1:8" ht="15.5" x14ac:dyDescent="0.35">
      <c r="A18" s="80" t="s">
        <v>370</v>
      </c>
      <c r="B18" s="80" t="s">
        <v>429</v>
      </c>
      <c r="C18" s="80" t="s">
        <v>354</v>
      </c>
      <c r="D18" s="80" t="s">
        <v>430</v>
      </c>
      <c r="E18" s="81" t="s">
        <v>431</v>
      </c>
      <c r="F18" s="80" t="s">
        <v>432</v>
      </c>
      <c r="G18" s="80" t="s">
        <v>358</v>
      </c>
      <c r="H18" s="80" t="s">
        <v>364</v>
      </c>
    </row>
    <row r="19" spans="1:8" ht="15.5" x14ac:dyDescent="0.35">
      <c r="A19" s="80" t="s">
        <v>370</v>
      </c>
      <c r="B19" s="80" t="s">
        <v>433</v>
      </c>
      <c r="C19" s="80" t="s">
        <v>354</v>
      </c>
      <c r="D19" s="80" t="s">
        <v>430</v>
      </c>
      <c r="E19" s="81" t="s">
        <v>434</v>
      </c>
      <c r="F19" s="80" t="s">
        <v>432</v>
      </c>
      <c r="G19" s="80" t="s">
        <v>358</v>
      </c>
      <c r="H19" s="80" t="s">
        <v>364</v>
      </c>
    </row>
    <row r="20" spans="1:8" ht="15.5" x14ac:dyDescent="0.35">
      <c r="A20" s="80" t="s">
        <v>370</v>
      </c>
      <c r="B20" s="80" t="s">
        <v>435</v>
      </c>
      <c r="C20" s="80" t="s">
        <v>436</v>
      </c>
      <c r="D20" s="80" t="s">
        <v>437</v>
      </c>
      <c r="E20" s="81" t="s">
        <v>438</v>
      </c>
      <c r="F20" s="80" t="s">
        <v>439</v>
      </c>
      <c r="G20" s="80" t="s">
        <v>358</v>
      </c>
      <c r="H20" s="80" t="s">
        <v>440</v>
      </c>
    </row>
    <row r="21" spans="1:8" ht="15.5" x14ac:dyDescent="0.35">
      <c r="A21" s="80" t="s">
        <v>370</v>
      </c>
      <c r="B21" s="80" t="s">
        <v>441</v>
      </c>
      <c r="C21" s="80" t="s">
        <v>354</v>
      </c>
      <c r="D21" s="80" t="s">
        <v>442</v>
      </c>
      <c r="E21" s="81" t="s">
        <v>443</v>
      </c>
      <c r="F21" s="80" t="s">
        <v>444</v>
      </c>
      <c r="G21" s="80" t="s">
        <v>375</v>
      </c>
      <c r="H21" s="80" t="s">
        <v>440</v>
      </c>
    </row>
    <row r="22" spans="1:8" ht="15.5" x14ac:dyDescent="0.35">
      <c r="A22" s="80" t="s">
        <v>370</v>
      </c>
      <c r="B22" s="80" t="s">
        <v>445</v>
      </c>
      <c r="C22" s="80" t="s">
        <v>354</v>
      </c>
      <c r="D22" s="80" t="s">
        <v>446</v>
      </c>
      <c r="E22" s="81" t="s">
        <v>447</v>
      </c>
      <c r="F22" s="80" t="s">
        <v>448</v>
      </c>
      <c r="G22" s="80" t="s">
        <v>375</v>
      </c>
      <c r="H22" s="80" t="s">
        <v>449</v>
      </c>
    </row>
    <row r="23" spans="1:8" ht="15.5" x14ac:dyDescent="0.35">
      <c r="A23" s="80" t="s">
        <v>370</v>
      </c>
      <c r="B23" s="80" t="s">
        <v>450</v>
      </c>
      <c r="C23" s="80" t="s">
        <v>436</v>
      </c>
      <c r="D23" s="80" t="s">
        <v>451</v>
      </c>
      <c r="E23" s="81" t="s">
        <v>452</v>
      </c>
      <c r="F23" s="80" t="s">
        <v>453</v>
      </c>
      <c r="G23" s="80" t="s">
        <v>358</v>
      </c>
      <c r="H23" s="80" t="s">
        <v>449</v>
      </c>
    </row>
    <row r="24" spans="1:8" ht="15.5" x14ac:dyDescent="0.35">
      <c r="A24" s="80" t="s">
        <v>370</v>
      </c>
      <c r="B24" s="80" t="s">
        <v>454</v>
      </c>
      <c r="C24" s="80" t="s">
        <v>436</v>
      </c>
      <c r="D24" s="80" t="s">
        <v>455</v>
      </c>
      <c r="E24" s="81" t="s">
        <v>456</v>
      </c>
      <c r="F24" s="80" t="s">
        <v>457</v>
      </c>
      <c r="G24" s="80" t="s">
        <v>358</v>
      </c>
      <c r="H24" s="80" t="s">
        <v>364</v>
      </c>
    </row>
    <row r="25" spans="1:8" ht="15.5" x14ac:dyDescent="0.35">
      <c r="A25" s="80" t="s">
        <v>370</v>
      </c>
      <c r="B25" s="80" t="s">
        <v>458</v>
      </c>
      <c r="C25" s="80" t="s">
        <v>436</v>
      </c>
      <c r="D25" s="80" t="s">
        <v>459</v>
      </c>
      <c r="E25" s="81" t="s">
        <v>460</v>
      </c>
      <c r="F25" s="80" t="s">
        <v>461</v>
      </c>
      <c r="G25" s="80" t="s">
        <v>358</v>
      </c>
      <c r="H25" s="80" t="s">
        <v>462</v>
      </c>
    </row>
    <row r="26" spans="1:8" ht="15.5" x14ac:dyDescent="0.35">
      <c r="A26" s="80" t="s">
        <v>463</v>
      </c>
      <c r="B26" s="80" t="s">
        <v>464</v>
      </c>
      <c r="C26" s="80" t="s">
        <v>354</v>
      </c>
      <c r="D26" s="80" t="s">
        <v>465</v>
      </c>
      <c r="E26" s="81" t="s">
        <v>466</v>
      </c>
      <c r="F26" s="80" t="s">
        <v>467</v>
      </c>
      <c r="G26" s="80" t="s">
        <v>375</v>
      </c>
      <c r="H26" s="80" t="s">
        <v>462</v>
      </c>
    </row>
    <row r="27" spans="1:8" ht="15.5" x14ac:dyDescent="0.35">
      <c r="A27" s="80" t="s">
        <v>463</v>
      </c>
      <c r="B27" s="80" t="s">
        <v>468</v>
      </c>
      <c r="C27" s="80" t="s">
        <v>354</v>
      </c>
      <c r="D27" s="80" t="s">
        <v>469</v>
      </c>
      <c r="E27" s="81" t="s">
        <v>470</v>
      </c>
      <c r="F27" s="80" t="s">
        <v>471</v>
      </c>
      <c r="G27" s="80" t="s">
        <v>375</v>
      </c>
      <c r="H27" s="80" t="s">
        <v>472</v>
      </c>
    </row>
    <row r="28" spans="1:8" ht="15.5" x14ac:dyDescent="0.35">
      <c r="A28" s="80" t="s">
        <v>463</v>
      </c>
      <c r="B28" s="80" t="s">
        <v>473</v>
      </c>
      <c r="C28" s="80" t="s">
        <v>436</v>
      </c>
      <c r="D28" s="80" t="s">
        <v>474</v>
      </c>
      <c r="E28" s="81" t="s">
        <v>475</v>
      </c>
      <c r="F28" s="80" t="s">
        <v>476</v>
      </c>
      <c r="G28" s="80" t="s">
        <v>358</v>
      </c>
      <c r="H28" s="80" t="s">
        <v>472</v>
      </c>
    </row>
    <row r="29" spans="1:8" ht="15.5" x14ac:dyDescent="0.35">
      <c r="A29" s="80" t="s">
        <v>463</v>
      </c>
      <c r="B29" s="80" t="s">
        <v>477</v>
      </c>
      <c r="C29" s="80" t="s">
        <v>436</v>
      </c>
      <c r="D29" s="80" t="s">
        <v>478</v>
      </c>
      <c r="E29" s="81" t="s">
        <v>479</v>
      </c>
      <c r="F29" s="80" t="s">
        <v>480</v>
      </c>
      <c r="G29" s="80" t="s">
        <v>358</v>
      </c>
      <c r="H29" s="80" t="s">
        <v>364</v>
      </c>
    </row>
    <row r="30" spans="1:8" ht="15.5" x14ac:dyDescent="0.35">
      <c r="A30" s="80" t="s">
        <v>463</v>
      </c>
      <c r="B30" s="80" t="s">
        <v>481</v>
      </c>
      <c r="C30" s="80" t="s">
        <v>436</v>
      </c>
      <c r="D30" s="80" t="s">
        <v>482</v>
      </c>
      <c r="E30" s="81" t="s">
        <v>483</v>
      </c>
      <c r="F30" s="80" t="s">
        <v>484</v>
      </c>
      <c r="G30" s="80" t="s">
        <v>358</v>
      </c>
      <c r="H30" s="80" t="s">
        <v>485</v>
      </c>
    </row>
    <row r="31" spans="1:8" ht="15.5" x14ac:dyDescent="0.35">
      <c r="A31" s="80" t="s">
        <v>463</v>
      </c>
      <c r="B31" s="80" t="s">
        <v>486</v>
      </c>
      <c r="C31" s="80" t="s">
        <v>436</v>
      </c>
      <c r="D31" s="80" t="s">
        <v>487</v>
      </c>
      <c r="E31" s="81" t="s">
        <v>488</v>
      </c>
      <c r="F31" s="80" t="s">
        <v>489</v>
      </c>
      <c r="G31" s="80" t="s">
        <v>358</v>
      </c>
      <c r="H31" s="80" t="s">
        <v>364</v>
      </c>
    </row>
    <row r="32" spans="1:8" ht="15.5" x14ac:dyDescent="0.35">
      <c r="A32" s="80" t="s">
        <v>463</v>
      </c>
      <c r="B32" s="80" t="s">
        <v>490</v>
      </c>
      <c r="C32" s="80" t="s">
        <v>436</v>
      </c>
      <c r="D32" s="80" t="s">
        <v>491</v>
      </c>
      <c r="E32" s="81" t="s">
        <v>492</v>
      </c>
      <c r="F32" s="80" t="s">
        <v>493</v>
      </c>
      <c r="G32" s="80" t="s">
        <v>358</v>
      </c>
      <c r="H32" s="80" t="s">
        <v>494</v>
      </c>
    </row>
    <row r="33" spans="1:8" ht="15.5" x14ac:dyDescent="0.35">
      <c r="A33" s="80" t="s">
        <v>463</v>
      </c>
      <c r="B33" s="80" t="s">
        <v>495</v>
      </c>
      <c r="C33" s="80" t="s">
        <v>354</v>
      </c>
      <c r="D33" s="80" t="s">
        <v>496</v>
      </c>
      <c r="E33" s="81" t="s">
        <v>497</v>
      </c>
      <c r="F33" s="80" t="s">
        <v>498</v>
      </c>
      <c r="G33" s="80" t="s">
        <v>375</v>
      </c>
      <c r="H33" s="80" t="s">
        <v>494</v>
      </c>
    </row>
    <row r="34" spans="1:8" ht="15.5" x14ac:dyDescent="0.35">
      <c r="A34" s="80" t="s">
        <v>463</v>
      </c>
      <c r="B34" s="80" t="s">
        <v>499</v>
      </c>
      <c r="C34" s="80" t="s">
        <v>354</v>
      </c>
      <c r="D34" s="80" t="s">
        <v>500</v>
      </c>
      <c r="E34" s="81" t="s">
        <v>501</v>
      </c>
      <c r="F34" s="80" t="s">
        <v>502</v>
      </c>
      <c r="G34" s="80" t="s">
        <v>375</v>
      </c>
      <c r="H34" s="80" t="s">
        <v>503</v>
      </c>
    </row>
    <row r="35" spans="1:8" ht="15.5" x14ac:dyDescent="0.35">
      <c r="A35" s="80" t="s">
        <v>463</v>
      </c>
      <c r="B35" s="80" t="s">
        <v>504</v>
      </c>
      <c r="C35" s="80" t="s">
        <v>436</v>
      </c>
      <c r="D35" s="80" t="s">
        <v>505</v>
      </c>
      <c r="E35" s="81" t="s">
        <v>506</v>
      </c>
      <c r="F35" s="80" t="s">
        <v>507</v>
      </c>
      <c r="G35" s="80" t="s">
        <v>358</v>
      </c>
      <c r="H35" s="80" t="s">
        <v>503</v>
      </c>
    </row>
    <row r="36" spans="1:8" ht="15.5" x14ac:dyDescent="0.35">
      <c r="A36" s="80" t="s">
        <v>463</v>
      </c>
      <c r="B36" s="80" t="s">
        <v>508</v>
      </c>
      <c r="C36" s="80" t="s">
        <v>436</v>
      </c>
      <c r="D36" s="80" t="s">
        <v>509</v>
      </c>
      <c r="E36" s="81" t="s">
        <v>510</v>
      </c>
      <c r="F36" s="80" t="s">
        <v>511</v>
      </c>
      <c r="G36" s="80" t="s">
        <v>358</v>
      </c>
      <c r="H36" s="80" t="s">
        <v>512</v>
      </c>
    </row>
    <row r="37" spans="1:8" ht="15.5" x14ac:dyDescent="0.35">
      <c r="A37" s="80" t="s">
        <v>463</v>
      </c>
      <c r="B37" s="80" t="s">
        <v>513</v>
      </c>
      <c r="C37" s="80" t="s">
        <v>436</v>
      </c>
      <c r="D37" s="80" t="s">
        <v>514</v>
      </c>
      <c r="E37" s="81" t="s">
        <v>515</v>
      </c>
      <c r="F37" s="80" t="s">
        <v>516</v>
      </c>
      <c r="G37" s="80" t="s">
        <v>375</v>
      </c>
      <c r="H37" s="80" t="s">
        <v>512</v>
      </c>
    </row>
    <row r="38" spans="1:8" ht="15.5" x14ac:dyDescent="0.35">
      <c r="A38" s="80" t="s">
        <v>463</v>
      </c>
      <c r="B38" s="80" t="s">
        <v>517</v>
      </c>
      <c r="C38" s="80" t="s">
        <v>436</v>
      </c>
      <c r="D38" s="80" t="s">
        <v>518</v>
      </c>
      <c r="E38" s="81" t="s">
        <v>519</v>
      </c>
      <c r="F38" s="80" t="s">
        <v>520</v>
      </c>
      <c r="G38" s="80" t="s">
        <v>375</v>
      </c>
      <c r="H38" s="80" t="s">
        <v>521</v>
      </c>
    </row>
    <row r="39" spans="1:8" ht="15.5" x14ac:dyDescent="0.35">
      <c r="A39" s="80" t="s">
        <v>463</v>
      </c>
      <c r="B39" s="80" t="s">
        <v>522</v>
      </c>
      <c r="C39" s="80" t="s">
        <v>436</v>
      </c>
      <c r="D39" s="80" t="s">
        <v>523</v>
      </c>
      <c r="E39" s="81" t="s">
        <v>524</v>
      </c>
      <c r="F39" s="80" t="s">
        <v>525</v>
      </c>
      <c r="G39" s="80" t="s">
        <v>358</v>
      </c>
      <c r="H39" s="80" t="s">
        <v>521</v>
      </c>
    </row>
    <row r="40" spans="1:8" ht="15.5" x14ac:dyDescent="0.35">
      <c r="A40" s="80" t="s">
        <v>463</v>
      </c>
      <c r="B40" s="80" t="s">
        <v>526</v>
      </c>
      <c r="C40" s="80" t="s">
        <v>436</v>
      </c>
      <c r="D40" s="80" t="s">
        <v>527</v>
      </c>
      <c r="E40" s="81" t="s">
        <v>528</v>
      </c>
      <c r="F40" s="80" t="s">
        <v>529</v>
      </c>
      <c r="G40" s="80" t="s">
        <v>358</v>
      </c>
      <c r="H40" s="80" t="s">
        <v>364</v>
      </c>
    </row>
    <row r="41" spans="1:8" ht="15.5" x14ac:dyDescent="0.35">
      <c r="A41" s="80" t="s">
        <v>463</v>
      </c>
      <c r="B41" s="80" t="s">
        <v>530</v>
      </c>
      <c r="C41" s="80" t="s">
        <v>436</v>
      </c>
      <c r="D41" s="80" t="s">
        <v>531</v>
      </c>
      <c r="E41" s="81" t="s">
        <v>532</v>
      </c>
      <c r="F41" s="80" t="s">
        <v>533</v>
      </c>
      <c r="G41" s="80" t="s">
        <v>358</v>
      </c>
      <c r="H41" s="80" t="s">
        <v>364</v>
      </c>
    </row>
    <row r="42" spans="1:8" ht="15.5" x14ac:dyDescent="0.35">
      <c r="A42" s="80" t="s">
        <v>534</v>
      </c>
      <c r="B42" s="80" t="s">
        <v>535</v>
      </c>
      <c r="C42" s="80" t="s">
        <v>436</v>
      </c>
      <c r="D42" s="80" t="s">
        <v>536</v>
      </c>
      <c r="E42" s="81" t="s">
        <v>537</v>
      </c>
      <c r="F42" s="80" t="s">
        <v>538</v>
      </c>
      <c r="G42" s="80" t="s">
        <v>358</v>
      </c>
      <c r="H42" s="80" t="s">
        <v>539</v>
      </c>
    </row>
    <row r="43" spans="1:8" ht="15.5" x14ac:dyDescent="0.35">
      <c r="A43" s="80" t="s">
        <v>534</v>
      </c>
      <c r="B43" s="80" t="s">
        <v>540</v>
      </c>
      <c r="C43" s="80" t="s">
        <v>436</v>
      </c>
      <c r="D43" s="80" t="s">
        <v>487</v>
      </c>
      <c r="E43" s="81" t="s">
        <v>541</v>
      </c>
      <c r="F43" s="80" t="s">
        <v>489</v>
      </c>
      <c r="G43" s="80" t="s">
        <v>375</v>
      </c>
      <c r="H43" s="80" t="s">
        <v>539</v>
      </c>
    </row>
    <row r="44" spans="1:8" ht="15.5" x14ac:dyDescent="0.35">
      <c r="A44" s="80" t="s">
        <v>534</v>
      </c>
      <c r="B44" s="80" t="s">
        <v>542</v>
      </c>
      <c r="C44" s="80" t="s">
        <v>436</v>
      </c>
      <c r="D44" s="80" t="s">
        <v>543</v>
      </c>
      <c r="E44" s="81" t="s">
        <v>544</v>
      </c>
      <c r="F44" s="80" t="s">
        <v>545</v>
      </c>
      <c r="G44" s="80" t="s">
        <v>375</v>
      </c>
      <c r="H44" s="80" t="s">
        <v>546</v>
      </c>
    </row>
    <row r="45" spans="1:8" ht="15.5" x14ac:dyDescent="0.35">
      <c r="A45" s="80" t="s">
        <v>534</v>
      </c>
      <c r="B45" s="80" t="s">
        <v>547</v>
      </c>
      <c r="C45" s="80" t="s">
        <v>436</v>
      </c>
      <c r="D45" s="80" t="s">
        <v>548</v>
      </c>
      <c r="E45" s="81" t="s">
        <v>549</v>
      </c>
      <c r="F45" s="80" t="s">
        <v>550</v>
      </c>
      <c r="G45" s="80" t="s">
        <v>358</v>
      </c>
      <c r="H45" s="80" t="s">
        <v>546</v>
      </c>
    </row>
    <row r="46" spans="1:8" ht="15.5" x14ac:dyDescent="0.35">
      <c r="A46" s="80" t="s">
        <v>534</v>
      </c>
      <c r="B46" s="80" t="s">
        <v>551</v>
      </c>
      <c r="C46" s="80" t="s">
        <v>436</v>
      </c>
      <c r="D46" s="80" t="s">
        <v>552</v>
      </c>
      <c r="E46" s="81" t="s">
        <v>553</v>
      </c>
      <c r="F46" s="80" t="s">
        <v>554</v>
      </c>
      <c r="G46" s="80" t="s">
        <v>358</v>
      </c>
      <c r="H46" s="80" t="s">
        <v>364</v>
      </c>
    </row>
    <row r="47" spans="1:8" ht="15.5" x14ac:dyDescent="0.35">
      <c r="A47" s="80" t="s">
        <v>534</v>
      </c>
      <c r="B47" s="80" t="s">
        <v>555</v>
      </c>
      <c r="C47" s="80" t="s">
        <v>436</v>
      </c>
      <c r="D47" s="80" t="s">
        <v>556</v>
      </c>
      <c r="E47" s="81" t="s">
        <v>557</v>
      </c>
      <c r="F47" s="80" t="s">
        <v>558</v>
      </c>
      <c r="G47" s="80" t="s">
        <v>358</v>
      </c>
      <c r="H47" s="80" t="s">
        <v>364</v>
      </c>
    </row>
    <row r="48" spans="1:8" ht="15.5" x14ac:dyDescent="0.35">
      <c r="A48" s="80" t="s">
        <v>534</v>
      </c>
      <c r="B48" s="80" t="s">
        <v>559</v>
      </c>
      <c r="C48" s="80" t="s">
        <v>436</v>
      </c>
      <c r="D48" s="80" t="s">
        <v>560</v>
      </c>
      <c r="E48" s="81" t="s">
        <v>561</v>
      </c>
      <c r="F48" s="80" t="s">
        <v>562</v>
      </c>
      <c r="G48" s="80" t="s">
        <v>358</v>
      </c>
      <c r="H48" s="80" t="s">
        <v>563</v>
      </c>
    </row>
    <row r="49" spans="1:8" ht="15.5" x14ac:dyDescent="0.35">
      <c r="A49" s="80" t="s">
        <v>534</v>
      </c>
      <c r="B49" s="80" t="s">
        <v>564</v>
      </c>
      <c r="C49" s="80" t="s">
        <v>436</v>
      </c>
      <c r="D49" s="80" t="s">
        <v>565</v>
      </c>
      <c r="E49" s="81" t="s">
        <v>566</v>
      </c>
      <c r="F49" s="80" t="s">
        <v>567</v>
      </c>
      <c r="G49" s="80" t="s">
        <v>375</v>
      </c>
      <c r="H49" s="80" t="s">
        <v>563</v>
      </c>
    </row>
    <row r="50" spans="1:8" ht="15.5" x14ac:dyDescent="0.35">
      <c r="A50" s="80" t="s">
        <v>534</v>
      </c>
      <c r="B50" s="80" t="s">
        <v>568</v>
      </c>
      <c r="C50" s="80" t="s">
        <v>436</v>
      </c>
      <c r="D50" s="80" t="s">
        <v>569</v>
      </c>
      <c r="E50" s="81" t="s">
        <v>570</v>
      </c>
      <c r="F50" s="80" t="s">
        <v>571</v>
      </c>
      <c r="G50" s="80" t="s">
        <v>375</v>
      </c>
      <c r="H50" s="80" t="s">
        <v>572</v>
      </c>
    </row>
    <row r="51" spans="1:8" ht="15.5" x14ac:dyDescent="0.35">
      <c r="A51" s="80" t="s">
        <v>534</v>
      </c>
      <c r="B51" s="80" t="s">
        <v>573</v>
      </c>
      <c r="C51" s="80" t="s">
        <v>436</v>
      </c>
      <c r="D51" s="80" t="s">
        <v>574</v>
      </c>
      <c r="E51" s="81" t="s">
        <v>575</v>
      </c>
      <c r="F51" s="80" t="s">
        <v>576</v>
      </c>
      <c r="G51" s="80" t="s">
        <v>358</v>
      </c>
      <c r="H51" s="80" t="s">
        <v>572</v>
      </c>
    </row>
    <row r="52" spans="1:8" ht="15.5" x14ac:dyDescent="0.35">
      <c r="A52" s="80" t="s">
        <v>534</v>
      </c>
      <c r="B52" s="80" t="s">
        <v>577</v>
      </c>
      <c r="C52" s="80" t="s">
        <v>578</v>
      </c>
      <c r="D52" s="80" t="s">
        <v>579</v>
      </c>
      <c r="E52" s="81" t="s">
        <v>580</v>
      </c>
      <c r="F52" s="80" t="s">
        <v>581</v>
      </c>
      <c r="G52" s="80" t="s">
        <v>358</v>
      </c>
      <c r="H52" s="80" t="s">
        <v>364</v>
      </c>
    </row>
    <row r="53" spans="1:8" ht="15.5" x14ac:dyDescent="0.35">
      <c r="A53" s="80" t="s">
        <v>534</v>
      </c>
      <c r="B53" s="80" t="s">
        <v>582</v>
      </c>
      <c r="C53" s="80" t="s">
        <v>578</v>
      </c>
      <c r="D53" s="80" t="s">
        <v>583</v>
      </c>
      <c r="E53" s="81" t="s">
        <v>584</v>
      </c>
      <c r="F53" s="80" t="s">
        <v>585</v>
      </c>
      <c r="G53" s="80" t="s">
        <v>358</v>
      </c>
      <c r="H53" s="80" t="s">
        <v>586</v>
      </c>
    </row>
    <row r="54" spans="1:8" ht="15.5" x14ac:dyDescent="0.35">
      <c r="A54" s="80" t="s">
        <v>534</v>
      </c>
      <c r="B54" s="80" t="s">
        <v>587</v>
      </c>
      <c r="C54" s="80" t="s">
        <v>436</v>
      </c>
      <c r="D54" s="80" t="s">
        <v>588</v>
      </c>
      <c r="E54" s="81" t="s">
        <v>589</v>
      </c>
      <c r="F54" s="80" t="s">
        <v>590</v>
      </c>
      <c r="G54" s="80" t="s">
        <v>375</v>
      </c>
      <c r="H54" s="80" t="s">
        <v>586</v>
      </c>
    </row>
    <row r="55" spans="1:8" ht="15.5" x14ac:dyDescent="0.35">
      <c r="A55" s="80" t="s">
        <v>591</v>
      </c>
      <c r="B55" s="80" t="s">
        <v>592</v>
      </c>
      <c r="C55" s="80" t="s">
        <v>436</v>
      </c>
      <c r="D55" s="80" t="s">
        <v>593</v>
      </c>
      <c r="E55" s="81" t="s">
        <v>594</v>
      </c>
      <c r="F55" s="80" t="s">
        <v>595</v>
      </c>
      <c r="G55" s="80" t="s">
        <v>375</v>
      </c>
      <c r="H55" s="80" t="s">
        <v>596</v>
      </c>
    </row>
    <row r="56" spans="1:8" ht="15.5" x14ac:dyDescent="0.35">
      <c r="A56" s="80" t="s">
        <v>534</v>
      </c>
      <c r="B56" s="80" t="s">
        <v>597</v>
      </c>
      <c r="C56" s="80" t="s">
        <v>578</v>
      </c>
      <c r="D56" s="80" t="s">
        <v>598</v>
      </c>
      <c r="E56" s="81" t="s">
        <v>599</v>
      </c>
      <c r="F56" s="80" t="s">
        <v>600</v>
      </c>
      <c r="G56" s="80" t="s">
        <v>358</v>
      </c>
      <c r="H56" s="80" t="s">
        <v>596</v>
      </c>
    </row>
    <row r="57" spans="1:8" ht="15.5" x14ac:dyDescent="0.35">
      <c r="A57" s="80" t="s">
        <v>534</v>
      </c>
      <c r="B57" s="80" t="s">
        <v>601</v>
      </c>
      <c r="C57" s="80" t="s">
        <v>578</v>
      </c>
      <c r="D57" s="80" t="s">
        <v>602</v>
      </c>
      <c r="E57" s="81" t="s">
        <v>603</v>
      </c>
      <c r="F57" s="80" t="s">
        <v>604</v>
      </c>
      <c r="G57" s="80" t="s">
        <v>358</v>
      </c>
      <c r="H57" s="80" t="s">
        <v>605</v>
      </c>
    </row>
    <row r="58" spans="1:8" ht="15.5" x14ac:dyDescent="0.35">
      <c r="A58" s="80" t="s">
        <v>534</v>
      </c>
      <c r="B58" s="80" t="s">
        <v>552</v>
      </c>
      <c r="C58" s="80" t="s">
        <v>578</v>
      </c>
      <c r="D58" s="80" t="s">
        <v>606</v>
      </c>
      <c r="E58" s="81" t="s">
        <v>607</v>
      </c>
      <c r="F58" s="80" t="s">
        <v>608</v>
      </c>
      <c r="G58" s="80" t="s">
        <v>358</v>
      </c>
      <c r="H58" s="80" t="s">
        <v>609</v>
      </c>
    </row>
    <row r="59" spans="1:8" ht="15.5" x14ac:dyDescent="0.35">
      <c r="A59" s="80" t="s">
        <v>591</v>
      </c>
      <c r="B59" s="80" t="s">
        <v>610</v>
      </c>
      <c r="C59" s="80" t="s">
        <v>436</v>
      </c>
      <c r="D59" s="80" t="s">
        <v>611</v>
      </c>
      <c r="E59" s="81" t="s">
        <v>612</v>
      </c>
      <c r="F59" s="80" t="s">
        <v>613</v>
      </c>
      <c r="G59" s="80" t="s">
        <v>375</v>
      </c>
      <c r="H59" s="80" t="s">
        <v>609</v>
      </c>
    </row>
    <row r="60" spans="1:8" ht="15.5" x14ac:dyDescent="0.35">
      <c r="A60" s="80" t="s">
        <v>591</v>
      </c>
      <c r="B60" s="80" t="s">
        <v>614</v>
      </c>
      <c r="C60" s="80" t="s">
        <v>436</v>
      </c>
      <c r="D60" s="80" t="s">
        <v>615</v>
      </c>
      <c r="E60" s="81" t="s">
        <v>616</v>
      </c>
      <c r="F60" s="80" t="s">
        <v>617</v>
      </c>
      <c r="G60" s="80" t="s">
        <v>375</v>
      </c>
      <c r="H60" s="80" t="s">
        <v>618</v>
      </c>
    </row>
    <row r="61" spans="1:8" ht="15.5" x14ac:dyDescent="0.35">
      <c r="A61" s="80" t="s">
        <v>534</v>
      </c>
      <c r="B61" s="80" t="s">
        <v>619</v>
      </c>
      <c r="C61" s="80" t="s">
        <v>578</v>
      </c>
      <c r="D61" s="80" t="s">
        <v>620</v>
      </c>
      <c r="E61" s="81" t="s">
        <v>621</v>
      </c>
      <c r="F61" s="80" t="s">
        <v>622</v>
      </c>
      <c r="G61" s="80" t="s">
        <v>358</v>
      </c>
      <c r="H61" s="80" t="s">
        <v>618</v>
      </c>
    </row>
    <row r="62" spans="1:8" ht="15.5" x14ac:dyDescent="0.35">
      <c r="A62" s="80" t="s">
        <v>591</v>
      </c>
      <c r="B62" s="80" t="s">
        <v>623</v>
      </c>
      <c r="C62" s="80" t="s">
        <v>578</v>
      </c>
      <c r="D62" s="80" t="s">
        <v>624</v>
      </c>
      <c r="E62" s="81" t="s">
        <v>625</v>
      </c>
      <c r="F62" s="80" t="s">
        <v>626</v>
      </c>
      <c r="G62" s="80" t="s">
        <v>358</v>
      </c>
      <c r="H62" s="80" t="s">
        <v>627</v>
      </c>
    </row>
    <row r="63" spans="1:8" ht="15.5" x14ac:dyDescent="0.35">
      <c r="A63" s="80" t="s">
        <v>591</v>
      </c>
      <c r="B63" s="80" t="s">
        <v>628</v>
      </c>
      <c r="C63" s="80" t="s">
        <v>436</v>
      </c>
      <c r="D63" s="80" t="s">
        <v>629</v>
      </c>
      <c r="E63" s="81" t="s">
        <v>630</v>
      </c>
      <c r="F63" s="80" t="s">
        <v>631</v>
      </c>
      <c r="G63" s="80" t="s">
        <v>375</v>
      </c>
      <c r="H63" s="80" t="s">
        <v>627</v>
      </c>
    </row>
    <row r="64" spans="1:8" ht="15.5" x14ac:dyDescent="0.35">
      <c r="A64" s="80" t="s">
        <v>591</v>
      </c>
      <c r="B64" s="80" t="s">
        <v>632</v>
      </c>
      <c r="C64" s="80" t="s">
        <v>436</v>
      </c>
      <c r="D64" s="80" t="s">
        <v>527</v>
      </c>
      <c r="E64" s="81" t="s">
        <v>633</v>
      </c>
      <c r="F64" s="80" t="s">
        <v>529</v>
      </c>
      <c r="G64" s="80" t="s">
        <v>375</v>
      </c>
      <c r="H64" s="80" t="s">
        <v>634</v>
      </c>
    </row>
    <row r="65" spans="1:8" ht="15.5" x14ac:dyDescent="0.35">
      <c r="A65" s="80" t="s">
        <v>591</v>
      </c>
      <c r="B65" s="80" t="s">
        <v>635</v>
      </c>
      <c r="C65" s="80" t="s">
        <v>578</v>
      </c>
      <c r="D65" s="80" t="s">
        <v>636</v>
      </c>
      <c r="E65" s="81" t="s">
        <v>637</v>
      </c>
      <c r="F65" s="80" t="s">
        <v>638</v>
      </c>
      <c r="G65" s="80" t="s">
        <v>358</v>
      </c>
      <c r="H65" s="80" t="s">
        <v>634</v>
      </c>
    </row>
    <row r="66" spans="1:8" ht="15.5" x14ac:dyDescent="0.35">
      <c r="A66" s="80" t="s">
        <v>591</v>
      </c>
      <c r="B66" s="80" t="s">
        <v>639</v>
      </c>
      <c r="C66" s="80" t="s">
        <v>578</v>
      </c>
      <c r="D66" s="80" t="s">
        <v>640</v>
      </c>
      <c r="E66" s="81" t="s">
        <v>641</v>
      </c>
      <c r="F66" s="80" t="s">
        <v>642</v>
      </c>
      <c r="G66" s="80" t="s">
        <v>358</v>
      </c>
      <c r="H66" s="80" t="s">
        <v>643</v>
      </c>
    </row>
    <row r="67" spans="1:8" ht="15.5" x14ac:dyDescent="0.35">
      <c r="A67" s="80" t="s">
        <v>591</v>
      </c>
      <c r="B67" s="80" t="s">
        <v>644</v>
      </c>
      <c r="C67" s="80" t="s">
        <v>436</v>
      </c>
      <c r="D67" s="80" t="s">
        <v>645</v>
      </c>
      <c r="E67" s="81" t="s">
        <v>646</v>
      </c>
      <c r="F67" s="80" t="s">
        <v>647</v>
      </c>
      <c r="G67" s="80" t="s">
        <v>375</v>
      </c>
      <c r="H67" s="80" t="s">
        <v>643</v>
      </c>
    </row>
    <row r="68" spans="1:8" ht="15.5" x14ac:dyDescent="0.35">
      <c r="A68" s="80" t="s">
        <v>591</v>
      </c>
      <c r="B68" s="80" t="s">
        <v>648</v>
      </c>
      <c r="C68" s="80" t="s">
        <v>436</v>
      </c>
      <c r="D68" s="80" t="s">
        <v>649</v>
      </c>
      <c r="E68" s="81" t="s">
        <v>650</v>
      </c>
      <c r="F68" s="80" t="s">
        <v>651</v>
      </c>
      <c r="G68" s="80" t="s">
        <v>375</v>
      </c>
      <c r="H68" s="80" t="s">
        <v>652</v>
      </c>
    </row>
    <row r="69" spans="1:8" ht="15.5" x14ac:dyDescent="0.35">
      <c r="A69" s="80" t="s">
        <v>591</v>
      </c>
      <c r="B69" s="80" t="s">
        <v>653</v>
      </c>
      <c r="C69" s="80" t="s">
        <v>578</v>
      </c>
      <c r="D69" s="80" t="s">
        <v>654</v>
      </c>
      <c r="E69" s="81" t="s">
        <v>655</v>
      </c>
      <c r="F69" s="80" t="s">
        <v>656</v>
      </c>
      <c r="G69" s="80" t="s">
        <v>358</v>
      </c>
      <c r="H69" s="80" t="s">
        <v>652</v>
      </c>
    </row>
    <row r="70" spans="1:8" ht="15.5" x14ac:dyDescent="0.35">
      <c r="A70" s="80" t="s">
        <v>591</v>
      </c>
      <c r="B70" s="80" t="s">
        <v>657</v>
      </c>
      <c r="C70" s="80" t="s">
        <v>578</v>
      </c>
      <c r="D70" s="80" t="s">
        <v>658</v>
      </c>
      <c r="E70" s="81" t="s">
        <v>659</v>
      </c>
      <c r="F70" s="80" t="s">
        <v>660</v>
      </c>
      <c r="G70" s="80" t="s">
        <v>358</v>
      </c>
      <c r="H70" s="80" t="s">
        <v>364</v>
      </c>
    </row>
    <row r="71" spans="1:8" ht="15.5" x14ac:dyDescent="0.35">
      <c r="A71" s="80" t="s">
        <v>591</v>
      </c>
      <c r="B71" s="80" t="s">
        <v>661</v>
      </c>
      <c r="C71" s="80" t="s">
        <v>578</v>
      </c>
      <c r="D71" s="80" t="s">
        <v>662</v>
      </c>
      <c r="E71" s="81" t="s">
        <v>663</v>
      </c>
      <c r="F71" s="80" t="s">
        <v>664</v>
      </c>
      <c r="G71" s="80" t="s">
        <v>358</v>
      </c>
      <c r="H71" s="80" t="s">
        <v>665</v>
      </c>
    </row>
    <row r="72" spans="1:8" ht="15.5" x14ac:dyDescent="0.35">
      <c r="A72" s="80" t="s">
        <v>591</v>
      </c>
      <c r="B72" s="80" t="s">
        <v>666</v>
      </c>
      <c r="C72" s="80" t="s">
        <v>436</v>
      </c>
      <c r="D72" s="80" t="s">
        <v>667</v>
      </c>
      <c r="E72" s="81" t="s">
        <v>668</v>
      </c>
      <c r="F72" s="80" t="s">
        <v>669</v>
      </c>
      <c r="G72" s="80" t="s">
        <v>375</v>
      </c>
      <c r="H72" s="80" t="s">
        <v>665</v>
      </c>
    </row>
    <row r="73" spans="1:8" ht="15.5" x14ac:dyDescent="0.35">
      <c r="A73" s="80" t="s">
        <v>670</v>
      </c>
      <c r="B73" s="80" t="s">
        <v>671</v>
      </c>
      <c r="C73" s="80" t="s">
        <v>436</v>
      </c>
      <c r="D73" s="80" t="s">
        <v>672</v>
      </c>
      <c r="E73" s="81" t="s">
        <v>673</v>
      </c>
      <c r="F73" s="80" t="s">
        <v>674</v>
      </c>
      <c r="G73" s="80" t="s">
        <v>375</v>
      </c>
      <c r="H73" s="80" t="s">
        <v>675</v>
      </c>
    </row>
    <row r="74" spans="1:8" ht="15.5" x14ac:dyDescent="0.35">
      <c r="A74" s="80" t="s">
        <v>591</v>
      </c>
      <c r="B74" s="80" t="s">
        <v>676</v>
      </c>
      <c r="C74" s="80" t="s">
        <v>436</v>
      </c>
      <c r="D74" s="80" t="s">
        <v>677</v>
      </c>
      <c r="E74" s="81" t="s">
        <v>678</v>
      </c>
      <c r="F74" s="80" t="s">
        <v>679</v>
      </c>
      <c r="G74" s="80" t="s">
        <v>358</v>
      </c>
      <c r="H74" s="80" t="s">
        <v>675</v>
      </c>
    </row>
    <row r="75" spans="1:8" ht="15.5" x14ac:dyDescent="0.35">
      <c r="A75" s="80" t="s">
        <v>670</v>
      </c>
      <c r="B75" s="80" t="s">
        <v>680</v>
      </c>
      <c r="C75" s="80" t="s">
        <v>436</v>
      </c>
      <c r="D75" s="80" t="s">
        <v>681</v>
      </c>
      <c r="E75" s="81" t="s">
        <v>682</v>
      </c>
      <c r="F75" s="80" t="s">
        <v>683</v>
      </c>
      <c r="G75" s="80" t="s">
        <v>358</v>
      </c>
      <c r="H75" s="80" t="s">
        <v>364</v>
      </c>
    </row>
    <row r="76" spans="1:8" ht="15.5" x14ac:dyDescent="0.35">
      <c r="A76" s="80" t="s">
        <v>670</v>
      </c>
      <c r="B76" s="80" t="s">
        <v>684</v>
      </c>
      <c r="C76" s="80" t="s">
        <v>436</v>
      </c>
      <c r="D76" s="80" t="s">
        <v>685</v>
      </c>
      <c r="E76" s="81" t="s">
        <v>686</v>
      </c>
      <c r="F76" s="80" t="s">
        <v>687</v>
      </c>
      <c r="G76" s="80" t="s">
        <v>358</v>
      </c>
      <c r="H76" s="80" t="s">
        <v>688</v>
      </c>
    </row>
    <row r="77" spans="1:8" ht="15.5" x14ac:dyDescent="0.35">
      <c r="A77" s="80" t="s">
        <v>670</v>
      </c>
      <c r="B77" s="80" t="s">
        <v>689</v>
      </c>
      <c r="C77" s="80" t="s">
        <v>436</v>
      </c>
      <c r="D77" s="80" t="s">
        <v>593</v>
      </c>
      <c r="E77" s="81" t="s">
        <v>690</v>
      </c>
      <c r="F77" s="80" t="s">
        <v>595</v>
      </c>
      <c r="G77" s="80" t="s">
        <v>375</v>
      </c>
      <c r="H77" s="80" t="s">
        <v>688</v>
      </c>
    </row>
    <row r="78" spans="1:8" ht="15.5" x14ac:dyDescent="0.35">
      <c r="A78" s="80" t="s">
        <v>670</v>
      </c>
      <c r="B78" s="80" t="s">
        <v>691</v>
      </c>
      <c r="C78" s="80" t="s">
        <v>436</v>
      </c>
      <c r="D78" s="80" t="s">
        <v>692</v>
      </c>
      <c r="E78" s="81" t="s">
        <v>693</v>
      </c>
      <c r="F78" s="80" t="s">
        <v>694</v>
      </c>
      <c r="G78" s="80" t="s">
        <v>375</v>
      </c>
      <c r="H78" s="80" t="s">
        <v>695</v>
      </c>
    </row>
    <row r="79" spans="1:8" ht="15.5" x14ac:dyDescent="0.35">
      <c r="A79" s="80" t="s">
        <v>670</v>
      </c>
      <c r="B79" s="80" t="s">
        <v>696</v>
      </c>
      <c r="C79" s="80" t="s">
        <v>578</v>
      </c>
      <c r="D79" s="80" t="s">
        <v>623</v>
      </c>
      <c r="E79" s="81" t="s">
        <v>697</v>
      </c>
      <c r="F79" s="80" t="s">
        <v>698</v>
      </c>
      <c r="G79" s="80" t="s">
        <v>358</v>
      </c>
      <c r="H79" s="80" t="s">
        <v>695</v>
      </c>
    </row>
    <row r="80" spans="1:8" ht="15.5" x14ac:dyDescent="0.35">
      <c r="A80" s="80" t="s">
        <v>670</v>
      </c>
      <c r="B80" s="80" t="s">
        <v>699</v>
      </c>
      <c r="C80" s="80" t="s">
        <v>578</v>
      </c>
      <c r="D80" s="80" t="s">
        <v>700</v>
      </c>
      <c r="E80" s="81" t="s">
        <v>701</v>
      </c>
      <c r="F80" s="80" t="s">
        <v>702</v>
      </c>
      <c r="G80" s="80" t="s">
        <v>358</v>
      </c>
      <c r="H80" s="80" t="s">
        <v>703</v>
      </c>
    </row>
    <row r="81" spans="1:8" ht="15.5" x14ac:dyDescent="0.35">
      <c r="A81" s="80" t="s">
        <v>670</v>
      </c>
      <c r="B81" s="80" t="s">
        <v>704</v>
      </c>
      <c r="C81" s="80" t="s">
        <v>436</v>
      </c>
      <c r="D81" s="80" t="s">
        <v>615</v>
      </c>
      <c r="E81" s="81" t="s">
        <v>705</v>
      </c>
      <c r="F81" s="80" t="s">
        <v>617</v>
      </c>
      <c r="G81" s="80" t="s">
        <v>375</v>
      </c>
      <c r="H81" s="80" t="s">
        <v>703</v>
      </c>
    </row>
    <row r="82" spans="1:8" ht="15.5" x14ac:dyDescent="0.35">
      <c r="A82" s="80" t="s">
        <v>670</v>
      </c>
      <c r="B82" s="80" t="s">
        <v>706</v>
      </c>
      <c r="C82" s="80" t="s">
        <v>436</v>
      </c>
      <c r="D82" s="80" t="s">
        <v>707</v>
      </c>
      <c r="E82" s="81" t="s">
        <v>708</v>
      </c>
      <c r="F82" s="80" t="s">
        <v>709</v>
      </c>
      <c r="G82" s="80" t="s">
        <v>375</v>
      </c>
      <c r="H82" s="80" t="s">
        <v>710</v>
      </c>
    </row>
    <row r="83" spans="1:8" ht="15.5" x14ac:dyDescent="0.35">
      <c r="A83" s="80" t="s">
        <v>670</v>
      </c>
      <c r="B83" s="80" t="s">
        <v>711</v>
      </c>
      <c r="C83" s="80" t="s">
        <v>578</v>
      </c>
      <c r="D83" s="80" t="s">
        <v>712</v>
      </c>
      <c r="E83" s="81" t="s">
        <v>713</v>
      </c>
      <c r="F83" s="80" t="s">
        <v>714</v>
      </c>
      <c r="G83" s="80" t="s">
        <v>358</v>
      </c>
      <c r="H83" s="80" t="s">
        <v>710</v>
      </c>
    </row>
    <row r="84" spans="1:8" ht="15.5" x14ac:dyDescent="0.35">
      <c r="A84" s="80" t="s">
        <v>670</v>
      </c>
      <c r="B84" s="80" t="s">
        <v>715</v>
      </c>
      <c r="C84" s="80" t="s">
        <v>578</v>
      </c>
      <c r="D84" s="80" t="s">
        <v>716</v>
      </c>
      <c r="E84" s="81" t="s">
        <v>717</v>
      </c>
      <c r="F84" s="80" t="s">
        <v>718</v>
      </c>
      <c r="G84" s="80" t="s">
        <v>358</v>
      </c>
      <c r="H84" s="80" t="s">
        <v>364</v>
      </c>
    </row>
    <row r="85" spans="1:8" ht="15.5" x14ac:dyDescent="0.35">
      <c r="A85" s="80" t="s">
        <v>670</v>
      </c>
      <c r="B85" s="80" t="s">
        <v>719</v>
      </c>
      <c r="C85" s="80" t="s">
        <v>578</v>
      </c>
      <c r="D85" s="80" t="s">
        <v>636</v>
      </c>
      <c r="E85" s="81" t="s">
        <v>720</v>
      </c>
      <c r="F85" s="80" t="s">
        <v>638</v>
      </c>
      <c r="G85" s="80" t="s">
        <v>358</v>
      </c>
      <c r="H85" s="80" t="s">
        <v>364</v>
      </c>
    </row>
    <row r="86" spans="1:8" ht="15.5" x14ac:dyDescent="0.35">
      <c r="A86" s="80" t="s">
        <v>670</v>
      </c>
      <c r="B86" s="80" t="s">
        <v>721</v>
      </c>
      <c r="C86" s="80" t="s">
        <v>578</v>
      </c>
      <c r="D86" s="80" t="s">
        <v>722</v>
      </c>
      <c r="E86" s="81" t="s">
        <v>723</v>
      </c>
      <c r="F86" s="80" t="s">
        <v>724</v>
      </c>
      <c r="G86" s="80" t="s">
        <v>358</v>
      </c>
      <c r="H86" s="80" t="s">
        <v>725</v>
      </c>
    </row>
    <row r="87" spans="1:8" ht="15.5" x14ac:dyDescent="0.35">
      <c r="A87" s="80" t="s">
        <v>670</v>
      </c>
      <c r="B87" s="80" t="s">
        <v>726</v>
      </c>
      <c r="C87" s="80" t="s">
        <v>436</v>
      </c>
      <c r="D87" s="80" t="s">
        <v>727</v>
      </c>
      <c r="E87" s="81" t="s">
        <v>728</v>
      </c>
      <c r="F87" s="80" t="s">
        <v>729</v>
      </c>
      <c r="G87" s="80" t="s">
        <v>375</v>
      </c>
      <c r="H87" s="80" t="s">
        <v>725</v>
      </c>
    </row>
    <row r="88" spans="1:8" ht="15.5" x14ac:dyDescent="0.35">
      <c r="A88" s="80" t="s">
        <v>670</v>
      </c>
      <c r="B88" s="80" t="s">
        <v>730</v>
      </c>
      <c r="C88" s="80" t="s">
        <v>436</v>
      </c>
      <c r="D88" s="80" t="s">
        <v>731</v>
      </c>
      <c r="E88" s="81" t="s">
        <v>732</v>
      </c>
      <c r="F88" s="80" t="s">
        <v>733</v>
      </c>
      <c r="G88" s="80" t="s">
        <v>375</v>
      </c>
      <c r="H88" s="80" t="s">
        <v>734</v>
      </c>
    </row>
    <row r="89" spans="1:8" ht="15.5" x14ac:dyDescent="0.35">
      <c r="A89" s="80" t="s">
        <v>670</v>
      </c>
      <c r="B89" s="80" t="s">
        <v>735</v>
      </c>
      <c r="C89" s="80" t="s">
        <v>578</v>
      </c>
      <c r="D89" s="80" t="s">
        <v>736</v>
      </c>
      <c r="E89" s="81" t="s">
        <v>737</v>
      </c>
      <c r="F89" s="80" t="s">
        <v>738</v>
      </c>
      <c r="G89" s="80" t="s">
        <v>358</v>
      </c>
      <c r="H89" s="80" t="s">
        <v>734</v>
      </c>
    </row>
    <row r="90" spans="1:8" ht="15.5" x14ac:dyDescent="0.35">
      <c r="A90" s="80" t="s">
        <v>670</v>
      </c>
      <c r="B90" s="80" t="s">
        <v>739</v>
      </c>
      <c r="C90" s="80" t="s">
        <v>578</v>
      </c>
      <c r="D90" s="80" t="s">
        <v>740</v>
      </c>
      <c r="E90" s="81" t="s">
        <v>741</v>
      </c>
      <c r="F90" s="80" t="s">
        <v>742</v>
      </c>
      <c r="G90" s="80" t="s">
        <v>358</v>
      </c>
      <c r="H90" s="80" t="s">
        <v>364</v>
      </c>
    </row>
    <row r="91" spans="1:8" ht="15.5" x14ac:dyDescent="0.35">
      <c r="A91" s="80" t="s">
        <v>670</v>
      </c>
      <c r="B91" s="80" t="s">
        <v>743</v>
      </c>
      <c r="C91" s="80" t="s">
        <v>578</v>
      </c>
      <c r="D91" s="80" t="s">
        <v>744</v>
      </c>
      <c r="E91" s="81" t="s">
        <v>745</v>
      </c>
      <c r="F91" s="80" t="s">
        <v>746</v>
      </c>
      <c r="G91" s="80" t="s">
        <v>358</v>
      </c>
      <c r="H91" s="80" t="s">
        <v>747</v>
      </c>
    </row>
    <row r="92" spans="1:8" ht="15.5" x14ac:dyDescent="0.35">
      <c r="A92" s="80" t="s">
        <v>748</v>
      </c>
      <c r="B92" s="80" t="s">
        <v>749</v>
      </c>
      <c r="C92" s="80" t="s">
        <v>436</v>
      </c>
      <c r="D92" s="80" t="s">
        <v>750</v>
      </c>
      <c r="E92" s="81" t="s">
        <v>751</v>
      </c>
      <c r="F92" s="80" t="s">
        <v>752</v>
      </c>
      <c r="G92" s="80" t="s">
        <v>375</v>
      </c>
      <c r="H92" s="80" t="s">
        <v>747</v>
      </c>
    </row>
    <row r="93" spans="1:8" ht="15.5" x14ac:dyDescent="0.35">
      <c r="A93" s="80" t="s">
        <v>748</v>
      </c>
      <c r="B93" s="80" t="s">
        <v>753</v>
      </c>
      <c r="C93" s="80" t="s">
        <v>436</v>
      </c>
      <c r="D93" s="80" t="s">
        <v>754</v>
      </c>
      <c r="E93" s="81" t="s">
        <v>755</v>
      </c>
      <c r="F93" s="80" t="s">
        <v>756</v>
      </c>
      <c r="G93" s="80" t="s">
        <v>375</v>
      </c>
      <c r="H93" s="80" t="s">
        <v>757</v>
      </c>
    </row>
    <row r="94" spans="1:8" ht="15.5" x14ac:dyDescent="0.35">
      <c r="A94" s="80" t="s">
        <v>748</v>
      </c>
      <c r="B94" s="80" t="s">
        <v>758</v>
      </c>
      <c r="C94" s="80" t="s">
        <v>578</v>
      </c>
      <c r="D94" s="80" t="s">
        <v>640</v>
      </c>
      <c r="E94" s="81" t="s">
        <v>759</v>
      </c>
      <c r="F94" s="80" t="s">
        <v>642</v>
      </c>
      <c r="G94" s="80" t="s">
        <v>358</v>
      </c>
      <c r="H94" s="80" t="s">
        <v>757</v>
      </c>
    </row>
    <row r="95" spans="1:8" ht="15.5" x14ac:dyDescent="0.35">
      <c r="A95" s="80" t="s">
        <v>748</v>
      </c>
      <c r="B95" s="80" t="s">
        <v>760</v>
      </c>
      <c r="C95" s="80" t="s">
        <v>578</v>
      </c>
      <c r="D95" s="80" t="s">
        <v>761</v>
      </c>
      <c r="E95" s="81" t="s">
        <v>762</v>
      </c>
      <c r="F95" s="80" t="s">
        <v>763</v>
      </c>
      <c r="G95" s="80" t="s">
        <v>358</v>
      </c>
      <c r="H95" s="80" t="s">
        <v>764</v>
      </c>
    </row>
    <row r="96" spans="1:8" ht="15.5" x14ac:dyDescent="0.35">
      <c r="A96" s="80" t="s">
        <v>748</v>
      </c>
      <c r="B96" s="80" t="s">
        <v>765</v>
      </c>
      <c r="C96" s="80" t="s">
        <v>578</v>
      </c>
      <c r="D96" s="80" t="s">
        <v>766</v>
      </c>
      <c r="E96" s="81" t="s">
        <v>767</v>
      </c>
      <c r="F96" s="80" t="s">
        <v>768</v>
      </c>
      <c r="G96" s="80" t="s">
        <v>375</v>
      </c>
      <c r="H96" s="80" t="s">
        <v>764</v>
      </c>
    </row>
    <row r="97" spans="1:8" ht="15.5" x14ac:dyDescent="0.35">
      <c r="A97" s="80" t="s">
        <v>748</v>
      </c>
      <c r="B97" s="80" t="s">
        <v>769</v>
      </c>
      <c r="C97" s="80" t="s">
        <v>578</v>
      </c>
      <c r="D97" s="80" t="s">
        <v>770</v>
      </c>
      <c r="E97" s="81" t="s">
        <v>771</v>
      </c>
      <c r="F97" s="80" t="s">
        <v>772</v>
      </c>
      <c r="G97" s="80" t="s">
        <v>375</v>
      </c>
      <c r="H97" s="80" t="s">
        <v>773</v>
      </c>
    </row>
    <row r="98" spans="1:8" ht="15.5" x14ac:dyDescent="0.35">
      <c r="A98" s="80" t="s">
        <v>748</v>
      </c>
      <c r="B98" s="80" t="s">
        <v>774</v>
      </c>
      <c r="C98" s="80" t="s">
        <v>578</v>
      </c>
      <c r="D98" s="80" t="s">
        <v>775</v>
      </c>
      <c r="E98" s="81" t="s">
        <v>776</v>
      </c>
      <c r="F98" s="80" t="s">
        <v>777</v>
      </c>
      <c r="G98" s="80" t="s">
        <v>358</v>
      </c>
      <c r="H98" s="80" t="s">
        <v>773</v>
      </c>
    </row>
    <row r="99" spans="1:8" ht="15.5" x14ac:dyDescent="0.35">
      <c r="A99" s="80" t="s">
        <v>748</v>
      </c>
      <c r="B99" s="80" t="s">
        <v>778</v>
      </c>
      <c r="C99" s="80" t="s">
        <v>578</v>
      </c>
      <c r="D99" s="80" t="s">
        <v>779</v>
      </c>
      <c r="E99" s="81" t="s">
        <v>780</v>
      </c>
      <c r="F99" s="80" t="s">
        <v>781</v>
      </c>
      <c r="G99" s="80" t="s">
        <v>358</v>
      </c>
      <c r="H99" s="80" t="s">
        <v>364</v>
      </c>
    </row>
    <row r="100" spans="1:8" ht="15.5" x14ac:dyDescent="0.35">
      <c r="A100" s="80" t="s">
        <v>748</v>
      </c>
      <c r="B100" s="80" t="s">
        <v>782</v>
      </c>
      <c r="C100" s="80" t="s">
        <v>578</v>
      </c>
      <c r="D100" s="80" t="s">
        <v>783</v>
      </c>
      <c r="E100" s="81" t="s">
        <v>784</v>
      </c>
      <c r="F100" s="80" t="s">
        <v>785</v>
      </c>
      <c r="G100" s="80" t="s">
        <v>358</v>
      </c>
      <c r="H100" s="80" t="s">
        <v>786</v>
      </c>
    </row>
    <row r="101" spans="1:8" ht="15.5" x14ac:dyDescent="0.35">
      <c r="A101" s="80" t="s">
        <v>748</v>
      </c>
      <c r="B101" s="80" t="s">
        <v>787</v>
      </c>
      <c r="C101" s="80" t="s">
        <v>578</v>
      </c>
      <c r="D101" s="80" t="s">
        <v>788</v>
      </c>
      <c r="E101" s="81" t="s">
        <v>789</v>
      </c>
      <c r="F101" s="80" t="s">
        <v>790</v>
      </c>
      <c r="G101" s="80" t="s">
        <v>358</v>
      </c>
      <c r="H101" s="80" t="s">
        <v>364</v>
      </c>
    </row>
    <row r="102" spans="1:8" ht="15.5" x14ac:dyDescent="0.35">
      <c r="A102" s="80" t="s">
        <v>748</v>
      </c>
      <c r="B102" s="80" t="s">
        <v>791</v>
      </c>
      <c r="C102" s="80" t="s">
        <v>578</v>
      </c>
      <c r="D102" s="80" t="s">
        <v>792</v>
      </c>
      <c r="E102" s="81" t="s">
        <v>793</v>
      </c>
      <c r="F102" s="80" t="s">
        <v>794</v>
      </c>
      <c r="G102" s="80" t="s">
        <v>358</v>
      </c>
      <c r="H102" s="80" t="s">
        <v>364</v>
      </c>
    </row>
    <row r="103" spans="1:8" ht="15.5" x14ac:dyDescent="0.35">
      <c r="A103" s="80" t="s">
        <v>748</v>
      </c>
      <c r="B103" s="80" t="s">
        <v>795</v>
      </c>
      <c r="C103" s="80" t="s">
        <v>578</v>
      </c>
      <c r="D103" s="80" t="s">
        <v>796</v>
      </c>
      <c r="E103" s="81" t="s">
        <v>797</v>
      </c>
      <c r="F103" s="80" t="s">
        <v>798</v>
      </c>
      <c r="G103" s="80" t="s">
        <v>358</v>
      </c>
      <c r="H103" s="80" t="s">
        <v>364</v>
      </c>
    </row>
    <row r="104" spans="1:8" ht="15.5" x14ac:dyDescent="0.35">
      <c r="A104" s="80" t="s">
        <v>748</v>
      </c>
      <c r="B104" s="80" t="s">
        <v>795</v>
      </c>
      <c r="C104" s="80" t="s">
        <v>578</v>
      </c>
      <c r="D104" s="80" t="s">
        <v>799</v>
      </c>
      <c r="E104" s="81" t="s">
        <v>797</v>
      </c>
      <c r="F104" s="80" t="s">
        <v>800</v>
      </c>
      <c r="G104" s="80" t="s">
        <v>358</v>
      </c>
      <c r="H104" s="80" t="s">
        <v>801</v>
      </c>
    </row>
    <row r="105" spans="1:8" ht="15.5" x14ac:dyDescent="0.35">
      <c r="A105" s="80" t="s">
        <v>748</v>
      </c>
      <c r="B105" s="80" t="s">
        <v>802</v>
      </c>
      <c r="C105" s="80" t="s">
        <v>578</v>
      </c>
      <c r="D105" s="80" t="s">
        <v>803</v>
      </c>
      <c r="E105" s="81" t="s">
        <v>804</v>
      </c>
      <c r="F105" s="80" t="s">
        <v>805</v>
      </c>
      <c r="G105" s="80" t="s">
        <v>375</v>
      </c>
      <c r="H105" s="80" t="s">
        <v>801</v>
      </c>
    </row>
    <row r="106" spans="1:8" ht="15.5" x14ac:dyDescent="0.35">
      <c r="A106" s="80" t="s">
        <v>748</v>
      </c>
      <c r="B106" s="80" t="s">
        <v>806</v>
      </c>
      <c r="C106" s="80" t="s">
        <v>578</v>
      </c>
      <c r="D106" s="80" t="s">
        <v>807</v>
      </c>
      <c r="E106" s="81" t="s">
        <v>808</v>
      </c>
      <c r="F106" s="80" t="s">
        <v>809</v>
      </c>
      <c r="G106" s="80" t="s">
        <v>375</v>
      </c>
      <c r="H106" s="80" t="s">
        <v>810</v>
      </c>
    </row>
    <row r="107" spans="1:8" ht="15.5" x14ac:dyDescent="0.35">
      <c r="A107" s="80" t="s">
        <v>748</v>
      </c>
      <c r="B107" s="80" t="s">
        <v>811</v>
      </c>
      <c r="C107" s="80" t="s">
        <v>578</v>
      </c>
      <c r="D107" s="80" t="s">
        <v>812</v>
      </c>
      <c r="E107" s="81" t="s">
        <v>813</v>
      </c>
      <c r="F107" s="80" t="s">
        <v>814</v>
      </c>
      <c r="G107" s="80" t="s">
        <v>358</v>
      </c>
      <c r="H107" s="80" t="s">
        <v>810</v>
      </c>
    </row>
    <row r="108" spans="1:8" ht="15.5" x14ac:dyDescent="0.35">
      <c r="A108" s="80" t="s">
        <v>748</v>
      </c>
      <c r="B108" s="80" t="s">
        <v>815</v>
      </c>
      <c r="C108" s="80" t="s">
        <v>578</v>
      </c>
      <c r="D108" s="80" t="s">
        <v>816</v>
      </c>
      <c r="E108" s="81" t="s">
        <v>817</v>
      </c>
      <c r="F108" s="80" t="s">
        <v>818</v>
      </c>
      <c r="G108" s="80" t="s">
        <v>358</v>
      </c>
      <c r="H108" s="80" t="s">
        <v>364</v>
      </c>
    </row>
    <row r="109" spans="1:8" ht="15.5" x14ac:dyDescent="0.35">
      <c r="A109" s="80" t="s">
        <v>748</v>
      </c>
      <c r="B109" s="80" t="s">
        <v>819</v>
      </c>
      <c r="C109" s="80" t="s">
        <v>578</v>
      </c>
      <c r="D109" s="80" t="s">
        <v>820</v>
      </c>
      <c r="E109" s="81" t="s">
        <v>821</v>
      </c>
      <c r="F109" s="80" t="s">
        <v>822</v>
      </c>
      <c r="G109" s="80" t="s">
        <v>358</v>
      </c>
      <c r="H109" s="80" t="s">
        <v>364</v>
      </c>
    </row>
    <row r="110" spans="1:8" ht="15.5" x14ac:dyDescent="0.35">
      <c r="A110" s="80" t="s">
        <v>748</v>
      </c>
      <c r="B110" s="80" t="s">
        <v>823</v>
      </c>
      <c r="C110" s="80" t="s">
        <v>578</v>
      </c>
      <c r="D110" s="80" t="s">
        <v>816</v>
      </c>
      <c r="E110" s="81" t="s">
        <v>824</v>
      </c>
      <c r="F110" s="80" t="s">
        <v>818</v>
      </c>
      <c r="G110" s="80" t="s">
        <v>358</v>
      </c>
      <c r="H110" s="80" t="s">
        <v>364</v>
      </c>
    </row>
    <row r="111" spans="1:8" ht="15.5" x14ac:dyDescent="0.35">
      <c r="A111" s="80" t="s">
        <v>748</v>
      </c>
      <c r="B111" s="80" t="s">
        <v>825</v>
      </c>
      <c r="C111" s="80" t="s">
        <v>578</v>
      </c>
      <c r="D111" s="80" t="s">
        <v>826</v>
      </c>
      <c r="E111" s="81" t="s">
        <v>827</v>
      </c>
      <c r="F111" s="80" t="s">
        <v>828</v>
      </c>
      <c r="G111" s="80" t="s">
        <v>358</v>
      </c>
      <c r="H111" s="80" t="s">
        <v>829</v>
      </c>
    </row>
    <row r="112" spans="1:8" ht="15.5" x14ac:dyDescent="0.35">
      <c r="A112" s="80" t="s">
        <v>748</v>
      </c>
      <c r="B112" s="80" t="s">
        <v>830</v>
      </c>
      <c r="C112" s="80" t="s">
        <v>578</v>
      </c>
      <c r="D112" s="80" t="s">
        <v>831</v>
      </c>
      <c r="E112" s="81" t="s">
        <v>832</v>
      </c>
      <c r="F112" s="80" t="s">
        <v>833</v>
      </c>
      <c r="G112" s="80" t="s">
        <v>375</v>
      </c>
      <c r="H112" s="80" t="s">
        <v>829</v>
      </c>
    </row>
    <row r="113" spans="1:8" ht="15.5" x14ac:dyDescent="0.35">
      <c r="A113" s="80" t="s">
        <v>748</v>
      </c>
      <c r="B113" s="80" t="s">
        <v>834</v>
      </c>
      <c r="C113" s="80" t="s">
        <v>578</v>
      </c>
      <c r="D113" s="80" t="s">
        <v>835</v>
      </c>
      <c r="E113" s="81" t="s">
        <v>836</v>
      </c>
      <c r="F113" s="80" t="s">
        <v>837</v>
      </c>
      <c r="G113" s="80" t="s">
        <v>375</v>
      </c>
      <c r="H113" s="80" t="s">
        <v>838</v>
      </c>
    </row>
    <row r="114" spans="1:8" ht="15.5" x14ac:dyDescent="0.35">
      <c r="A114" s="80" t="s">
        <v>748</v>
      </c>
      <c r="B114" s="80" t="s">
        <v>839</v>
      </c>
      <c r="C114" s="80" t="s">
        <v>578</v>
      </c>
      <c r="D114" s="80" t="s">
        <v>840</v>
      </c>
      <c r="E114" s="81" t="s">
        <v>841</v>
      </c>
      <c r="F114" s="80" t="s">
        <v>842</v>
      </c>
      <c r="G114" s="80" t="s">
        <v>358</v>
      </c>
      <c r="H114" s="80" t="s">
        <v>838</v>
      </c>
    </row>
    <row r="115" spans="1:8" ht="15.5" x14ac:dyDescent="0.35">
      <c r="A115" s="80" t="s">
        <v>748</v>
      </c>
      <c r="B115" s="80" t="s">
        <v>782</v>
      </c>
      <c r="C115" s="80" t="s">
        <v>578</v>
      </c>
      <c r="D115" s="80" t="s">
        <v>843</v>
      </c>
      <c r="E115" s="81" t="s">
        <v>784</v>
      </c>
      <c r="F115" s="80" t="s">
        <v>844</v>
      </c>
      <c r="G115" s="80" t="s">
        <v>358</v>
      </c>
      <c r="H115" s="80" t="s">
        <v>364</v>
      </c>
    </row>
    <row r="116" spans="1:8" ht="15.5" x14ac:dyDescent="0.35">
      <c r="A116" s="80" t="s">
        <v>748</v>
      </c>
      <c r="B116" s="80" t="s">
        <v>845</v>
      </c>
      <c r="C116" s="80" t="s">
        <v>846</v>
      </c>
      <c r="D116" s="80" t="s">
        <v>847</v>
      </c>
      <c r="E116" s="81" t="s">
        <v>848</v>
      </c>
      <c r="F116" s="80" t="s">
        <v>849</v>
      </c>
      <c r="G116" s="80" t="s">
        <v>358</v>
      </c>
      <c r="H116" s="80" t="s">
        <v>364</v>
      </c>
    </row>
    <row r="117" spans="1:8" ht="15.5" x14ac:dyDescent="0.35">
      <c r="A117" s="80" t="s">
        <v>748</v>
      </c>
      <c r="B117" s="80" t="s">
        <v>845</v>
      </c>
      <c r="C117" s="80" t="s">
        <v>846</v>
      </c>
      <c r="D117" s="80" t="s">
        <v>850</v>
      </c>
      <c r="E117" s="81" t="s">
        <v>848</v>
      </c>
      <c r="F117" s="80" t="s">
        <v>851</v>
      </c>
      <c r="G117" s="80" t="s">
        <v>358</v>
      </c>
      <c r="H117" s="80" t="s">
        <v>364</v>
      </c>
    </row>
    <row r="118" spans="1:8" ht="15.5" x14ac:dyDescent="0.35">
      <c r="A118" s="80" t="s">
        <v>748</v>
      </c>
      <c r="B118" s="80" t="s">
        <v>852</v>
      </c>
      <c r="C118" s="80" t="s">
        <v>846</v>
      </c>
      <c r="D118" s="80" t="s">
        <v>853</v>
      </c>
      <c r="E118" s="81" t="s">
        <v>854</v>
      </c>
      <c r="F118" s="80" t="s">
        <v>855</v>
      </c>
      <c r="G118" s="80" t="s">
        <v>358</v>
      </c>
      <c r="H118" s="80" t="s">
        <v>364</v>
      </c>
    </row>
    <row r="119" spans="1:8" ht="15.5" x14ac:dyDescent="0.35">
      <c r="A119" s="80" t="s">
        <v>748</v>
      </c>
      <c r="B119" s="80" t="s">
        <v>856</v>
      </c>
      <c r="C119" s="80" t="s">
        <v>846</v>
      </c>
      <c r="D119" s="80" t="s">
        <v>857</v>
      </c>
      <c r="E119" s="81" t="s">
        <v>858</v>
      </c>
      <c r="F119" s="80" t="s">
        <v>859</v>
      </c>
      <c r="G119" s="80" t="s">
        <v>358</v>
      </c>
      <c r="H119" s="80" t="s">
        <v>364</v>
      </c>
    </row>
    <row r="120" spans="1:8" ht="15.5" x14ac:dyDescent="0.35">
      <c r="A120" s="80" t="s">
        <v>748</v>
      </c>
      <c r="B120" s="80" t="s">
        <v>856</v>
      </c>
      <c r="C120" s="80" t="s">
        <v>846</v>
      </c>
      <c r="D120" s="80" t="s">
        <v>860</v>
      </c>
      <c r="E120" s="81" t="s">
        <v>858</v>
      </c>
      <c r="F120" s="80" t="s">
        <v>861</v>
      </c>
      <c r="G120" s="80" t="s">
        <v>358</v>
      </c>
      <c r="H120" s="80" t="s">
        <v>862</v>
      </c>
    </row>
    <row r="121" spans="1:8" ht="15.5" x14ac:dyDescent="0.35">
      <c r="A121" s="80" t="s">
        <v>748</v>
      </c>
      <c r="B121" s="80" t="s">
        <v>863</v>
      </c>
      <c r="C121" s="80" t="s">
        <v>846</v>
      </c>
      <c r="D121" s="80" t="s">
        <v>864</v>
      </c>
      <c r="E121" s="81" t="s">
        <v>865</v>
      </c>
      <c r="F121" s="80" t="s">
        <v>866</v>
      </c>
      <c r="G121" s="80" t="s">
        <v>375</v>
      </c>
      <c r="H121" s="80" t="s">
        <v>862</v>
      </c>
    </row>
    <row r="122" spans="1:8" ht="15.5" x14ac:dyDescent="0.35">
      <c r="A122" s="80" t="s">
        <v>748</v>
      </c>
      <c r="B122" s="80" t="s">
        <v>867</v>
      </c>
      <c r="C122" s="80" t="s">
        <v>846</v>
      </c>
      <c r="D122" s="80" t="s">
        <v>868</v>
      </c>
      <c r="E122" s="81" t="s">
        <v>869</v>
      </c>
      <c r="F122" s="80" t="s">
        <v>870</v>
      </c>
      <c r="G122" s="80" t="s">
        <v>375</v>
      </c>
      <c r="H122" s="80" t="s">
        <v>871</v>
      </c>
    </row>
    <row r="123" spans="1:8" ht="15.5" x14ac:dyDescent="0.35">
      <c r="A123" s="80" t="s">
        <v>748</v>
      </c>
      <c r="B123" s="80" t="s">
        <v>856</v>
      </c>
      <c r="C123" s="80" t="s">
        <v>846</v>
      </c>
      <c r="D123" s="80" t="s">
        <v>872</v>
      </c>
      <c r="E123" s="81" t="s">
        <v>858</v>
      </c>
      <c r="F123" s="80" t="s">
        <v>873</v>
      </c>
      <c r="G123" s="80" t="s">
        <v>358</v>
      </c>
      <c r="H123" s="80" t="s">
        <v>871</v>
      </c>
    </row>
    <row r="124" spans="1:8" ht="15.5" x14ac:dyDescent="0.35">
      <c r="A124" s="80" t="s">
        <v>748</v>
      </c>
      <c r="B124" s="80" t="s">
        <v>874</v>
      </c>
      <c r="C124" s="80" t="s">
        <v>846</v>
      </c>
      <c r="D124" s="80" t="s">
        <v>875</v>
      </c>
      <c r="E124" s="81" t="s">
        <v>876</v>
      </c>
      <c r="F124" s="80" t="s">
        <v>877</v>
      </c>
      <c r="G124" s="80" t="s">
        <v>358</v>
      </c>
      <c r="H124" s="80" t="s">
        <v>364</v>
      </c>
    </row>
    <row r="125" spans="1:8" ht="15.5" x14ac:dyDescent="0.35">
      <c r="A125" s="80" t="s">
        <v>748</v>
      </c>
      <c r="B125" s="80" t="s">
        <v>878</v>
      </c>
      <c r="C125" s="80" t="s">
        <v>846</v>
      </c>
      <c r="D125" s="80" t="s">
        <v>879</v>
      </c>
      <c r="E125" s="81" t="s">
        <v>880</v>
      </c>
      <c r="F125" s="80" t="s">
        <v>881</v>
      </c>
      <c r="G125" s="80" t="s">
        <v>358</v>
      </c>
      <c r="H125" s="80" t="s">
        <v>364</v>
      </c>
    </row>
    <row r="126" spans="1:8" ht="15.5" x14ac:dyDescent="0.35">
      <c r="A126" s="80" t="s">
        <v>748</v>
      </c>
      <c r="B126" s="80" t="s">
        <v>882</v>
      </c>
      <c r="C126" s="80" t="s">
        <v>846</v>
      </c>
      <c r="D126" s="80" t="s">
        <v>883</v>
      </c>
      <c r="E126" s="81" t="s">
        <v>884</v>
      </c>
      <c r="F126" s="80" t="s">
        <v>885</v>
      </c>
      <c r="G126" s="80" t="s">
        <v>358</v>
      </c>
      <c r="H126" s="80" t="s">
        <v>364</v>
      </c>
    </row>
    <row r="127" spans="1:8" ht="15.5" x14ac:dyDescent="0.35">
      <c r="A127" s="80" t="s">
        <v>748</v>
      </c>
      <c r="B127" s="80" t="s">
        <v>886</v>
      </c>
      <c r="C127" s="80" t="s">
        <v>846</v>
      </c>
      <c r="D127" s="80" t="s">
        <v>887</v>
      </c>
      <c r="E127" s="81" t="s">
        <v>888</v>
      </c>
      <c r="F127" s="80" t="s">
        <v>889</v>
      </c>
      <c r="G127" s="80" t="s">
        <v>358</v>
      </c>
      <c r="H127" s="80" t="s">
        <v>364</v>
      </c>
    </row>
    <row r="128" spans="1:8" ht="15.5" x14ac:dyDescent="0.35">
      <c r="A128" s="80" t="s">
        <v>748</v>
      </c>
      <c r="B128" s="80" t="s">
        <v>890</v>
      </c>
      <c r="C128" s="80" t="s">
        <v>846</v>
      </c>
      <c r="D128" s="80" t="s">
        <v>891</v>
      </c>
      <c r="E128" s="81" t="s">
        <v>892</v>
      </c>
      <c r="F128" s="80" t="s">
        <v>893</v>
      </c>
      <c r="G128" s="80" t="s">
        <v>358</v>
      </c>
      <c r="H128" s="80" t="s">
        <v>364</v>
      </c>
    </row>
    <row r="129" spans="1:8" ht="15.5" x14ac:dyDescent="0.35">
      <c r="A129" s="80" t="s">
        <v>748</v>
      </c>
      <c r="B129" s="80" t="s">
        <v>894</v>
      </c>
      <c r="C129" s="80" t="s">
        <v>846</v>
      </c>
      <c r="D129" s="80" t="s">
        <v>895</v>
      </c>
      <c r="E129" s="81" t="s">
        <v>896</v>
      </c>
      <c r="F129" s="80" t="s">
        <v>897</v>
      </c>
      <c r="G129" s="80" t="s">
        <v>358</v>
      </c>
      <c r="H129" s="80" t="s">
        <v>364</v>
      </c>
    </row>
    <row r="130" spans="1:8" ht="15.5" x14ac:dyDescent="0.35">
      <c r="A130" s="80" t="s">
        <v>748</v>
      </c>
      <c r="B130" s="80" t="s">
        <v>898</v>
      </c>
      <c r="C130" s="80" t="s">
        <v>846</v>
      </c>
      <c r="D130" s="80" t="s">
        <v>899</v>
      </c>
      <c r="E130" s="81" t="s">
        <v>900</v>
      </c>
      <c r="F130" s="80" t="s">
        <v>901</v>
      </c>
      <c r="G130" s="80" t="s">
        <v>358</v>
      </c>
      <c r="H130" s="80" t="s">
        <v>902</v>
      </c>
    </row>
    <row r="131" spans="1:8" ht="15.5" x14ac:dyDescent="0.35">
      <c r="A131" s="80" t="s">
        <v>748</v>
      </c>
      <c r="B131" s="80" t="s">
        <v>903</v>
      </c>
      <c r="C131" s="80" t="s">
        <v>846</v>
      </c>
      <c r="D131" s="80" t="s">
        <v>904</v>
      </c>
      <c r="E131" s="81" t="s">
        <v>905</v>
      </c>
      <c r="F131" s="80" t="s">
        <v>906</v>
      </c>
      <c r="G131" s="80" t="s">
        <v>375</v>
      </c>
      <c r="H131" s="80" t="s">
        <v>902</v>
      </c>
    </row>
    <row r="132" spans="1:8" ht="15.5" x14ac:dyDescent="0.35">
      <c r="A132" s="80" t="s">
        <v>907</v>
      </c>
      <c r="B132" s="80" t="s">
        <v>908</v>
      </c>
      <c r="C132" s="80" t="s">
        <v>846</v>
      </c>
      <c r="D132" s="80" t="s">
        <v>909</v>
      </c>
      <c r="E132" s="81" t="s">
        <v>910</v>
      </c>
      <c r="F132" s="80" t="s">
        <v>911</v>
      </c>
      <c r="G132" s="80" t="s">
        <v>375</v>
      </c>
      <c r="H132" s="80" t="s">
        <v>912</v>
      </c>
    </row>
    <row r="133" spans="1:8" ht="15.5" x14ac:dyDescent="0.35">
      <c r="A133" s="80" t="s">
        <v>748</v>
      </c>
      <c r="B133" s="80" t="s">
        <v>913</v>
      </c>
      <c r="C133" s="80" t="s">
        <v>846</v>
      </c>
      <c r="D133" s="80" t="s">
        <v>914</v>
      </c>
      <c r="E133" s="81" t="s">
        <v>915</v>
      </c>
      <c r="F133" s="80" t="s">
        <v>916</v>
      </c>
      <c r="G133" s="80" t="s">
        <v>358</v>
      </c>
      <c r="H133" s="80" t="s">
        <v>912</v>
      </c>
    </row>
    <row r="134" spans="1:8" ht="15.5" x14ac:dyDescent="0.35">
      <c r="A134" s="80" t="s">
        <v>748</v>
      </c>
      <c r="B134" s="80" t="s">
        <v>917</v>
      </c>
      <c r="C134" s="80" t="s">
        <v>846</v>
      </c>
      <c r="D134" s="80" t="s">
        <v>918</v>
      </c>
      <c r="E134" s="81" t="s">
        <v>919</v>
      </c>
      <c r="F134" s="80" t="s">
        <v>920</v>
      </c>
      <c r="G134" s="80" t="s">
        <v>358</v>
      </c>
      <c r="H134" s="80" t="s">
        <v>364</v>
      </c>
    </row>
    <row r="135" spans="1:8" ht="15.5" x14ac:dyDescent="0.35">
      <c r="A135" s="80" t="s">
        <v>748</v>
      </c>
      <c r="B135" s="80" t="s">
        <v>921</v>
      </c>
      <c r="C135" s="80" t="s">
        <v>846</v>
      </c>
      <c r="D135" s="80" t="s">
        <v>922</v>
      </c>
      <c r="E135" s="81" t="s">
        <v>923</v>
      </c>
      <c r="F135" s="80" t="s">
        <v>924</v>
      </c>
      <c r="G135" s="80" t="s">
        <v>358</v>
      </c>
      <c r="H135" s="80" t="s">
        <v>925</v>
      </c>
    </row>
    <row r="136" spans="1:8" ht="15.5" x14ac:dyDescent="0.35">
      <c r="A136" s="80" t="s">
        <v>907</v>
      </c>
      <c r="B136" s="80" t="s">
        <v>926</v>
      </c>
      <c r="C136" s="80" t="s">
        <v>846</v>
      </c>
      <c r="D136" s="80" t="s">
        <v>927</v>
      </c>
      <c r="E136" s="81" t="s">
        <v>928</v>
      </c>
      <c r="F136" s="80" t="s">
        <v>929</v>
      </c>
      <c r="G136" s="80" t="s">
        <v>375</v>
      </c>
      <c r="H136" s="80" t="s">
        <v>925</v>
      </c>
    </row>
    <row r="137" spans="1:8" ht="15.5" x14ac:dyDescent="0.35">
      <c r="A137" s="80" t="s">
        <v>907</v>
      </c>
      <c r="B137" s="80" t="s">
        <v>930</v>
      </c>
      <c r="C137" s="80" t="s">
        <v>846</v>
      </c>
      <c r="D137" s="80" t="s">
        <v>931</v>
      </c>
      <c r="E137" s="81" t="s">
        <v>932</v>
      </c>
      <c r="F137" s="80" t="s">
        <v>933</v>
      </c>
      <c r="G137" s="80" t="s">
        <v>375</v>
      </c>
      <c r="H137" s="80" t="s">
        <v>934</v>
      </c>
    </row>
    <row r="138" spans="1:8" ht="15.5" x14ac:dyDescent="0.35">
      <c r="A138" s="80" t="s">
        <v>748</v>
      </c>
      <c r="B138" s="80" t="s">
        <v>935</v>
      </c>
      <c r="C138" s="80" t="s">
        <v>846</v>
      </c>
      <c r="D138" s="80" t="s">
        <v>936</v>
      </c>
      <c r="E138" s="81" t="s">
        <v>937</v>
      </c>
      <c r="F138" s="80" t="s">
        <v>938</v>
      </c>
      <c r="G138" s="80" t="s">
        <v>358</v>
      </c>
      <c r="H138" s="80" t="s">
        <v>934</v>
      </c>
    </row>
    <row r="139" spans="1:8" ht="15.5" x14ac:dyDescent="0.35">
      <c r="A139" s="80" t="s">
        <v>748</v>
      </c>
      <c r="B139" s="80" t="s">
        <v>921</v>
      </c>
      <c r="C139" s="80" t="s">
        <v>846</v>
      </c>
      <c r="D139" s="80" t="s">
        <v>939</v>
      </c>
      <c r="E139" s="81" t="s">
        <v>923</v>
      </c>
      <c r="F139" s="80" t="s">
        <v>940</v>
      </c>
      <c r="G139" s="80" t="s">
        <v>358</v>
      </c>
      <c r="H139" s="80" t="s">
        <v>364</v>
      </c>
    </row>
    <row r="140" spans="1:8" ht="15.5" x14ac:dyDescent="0.35">
      <c r="A140" s="80" t="s">
        <v>748</v>
      </c>
      <c r="B140" s="80" t="s">
        <v>941</v>
      </c>
      <c r="C140" s="80" t="s">
        <v>846</v>
      </c>
      <c r="D140" s="80" t="s">
        <v>942</v>
      </c>
      <c r="E140" s="81" t="s">
        <v>943</v>
      </c>
      <c r="F140" s="80" t="s">
        <v>944</v>
      </c>
      <c r="G140" s="80" t="s">
        <v>358</v>
      </c>
      <c r="H140" s="80" t="s">
        <v>945</v>
      </c>
    </row>
    <row r="141" spans="1:8" ht="15.5" x14ac:dyDescent="0.35">
      <c r="A141" s="80" t="s">
        <v>907</v>
      </c>
      <c r="B141" s="80" t="s">
        <v>946</v>
      </c>
      <c r="C141" s="80" t="s">
        <v>846</v>
      </c>
      <c r="D141" s="80" t="s">
        <v>947</v>
      </c>
      <c r="E141" s="81" t="s">
        <v>948</v>
      </c>
      <c r="F141" s="80" t="s">
        <v>949</v>
      </c>
      <c r="G141" s="80" t="s">
        <v>375</v>
      </c>
      <c r="H141" s="80" t="s">
        <v>945</v>
      </c>
    </row>
    <row r="142" spans="1:8" ht="15.5" x14ac:dyDescent="0.35">
      <c r="A142" s="80" t="s">
        <v>907</v>
      </c>
      <c r="B142" s="80" t="s">
        <v>950</v>
      </c>
      <c r="C142" s="80" t="s">
        <v>846</v>
      </c>
      <c r="D142" s="80" t="s">
        <v>951</v>
      </c>
      <c r="E142" s="81" t="s">
        <v>952</v>
      </c>
      <c r="F142" s="80" t="s">
        <v>953</v>
      </c>
      <c r="G142" s="80" t="s">
        <v>375</v>
      </c>
      <c r="H142" s="80" t="s">
        <v>954</v>
      </c>
    </row>
    <row r="143" spans="1:8" ht="15.5" x14ac:dyDescent="0.35">
      <c r="A143" s="80" t="s">
        <v>748</v>
      </c>
      <c r="B143" s="80" t="s">
        <v>955</v>
      </c>
      <c r="C143" s="80" t="s">
        <v>846</v>
      </c>
      <c r="D143" s="80" t="s">
        <v>956</v>
      </c>
      <c r="E143" s="81" t="s">
        <v>957</v>
      </c>
      <c r="F143" s="80" t="s">
        <v>958</v>
      </c>
      <c r="G143" s="80" t="s">
        <v>358</v>
      </c>
      <c r="H143" s="80" t="s">
        <v>954</v>
      </c>
    </row>
    <row r="144" spans="1:8" ht="15.5" x14ac:dyDescent="0.35">
      <c r="A144" s="80" t="s">
        <v>748</v>
      </c>
      <c r="B144" s="80" t="s">
        <v>959</v>
      </c>
      <c r="C144" s="80" t="s">
        <v>960</v>
      </c>
      <c r="D144" s="80" t="s">
        <v>961</v>
      </c>
      <c r="E144" s="81" t="s">
        <v>962</v>
      </c>
      <c r="F144" s="80" t="s">
        <v>963</v>
      </c>
      <c r="G144" s="80" t="s">
        <v>358</v>
      </c>
      <c r="H144" s="80" t="s">
        <v>964</v>
      </c>
    </row>
    <row r="145" spans="1:8" ht="15.5" x14ac:dyDescent="0.35">
      <c r="A145" s="80" t="s">
        <v>748</v>
      </c>
      <c r="B145" s="80" t="s">
        <v>935</v>
      </c>
      <c r="C145" s="80" t="s">
        <v>960</v>
      </c>
      <c r="D145" s="80" t="s">
        <v>965</v>
      </c>
      <c r="E145" s="81" t="s">
        <v>937</v>
      </c>
      <c r="F145" s="80" t="s">
        <v>966</v>
      </c>
      <c r="G145" s="80" t="s">
        <v>358</v>
      </c>
      <c r="H145" s="80" t="s">
        <v>364</v>
      </c>
    </row>
    <row r="146" spans="1:8" ht="15.5" x14ac:dyDescent="0.35">
      <c r="A146" s="80" t="s">
        <v>748</v>
      </c>
      <c r="B146" s="80" t="s">
        <v>967</v>
      </c>
      <c r="C146" s="80" t="s">
        <v>960</v>
      </c>
      <c r="D146" s="80" t="s">
        <v>968</v>
      </c>
      <c r="E146" s="81" t="s">
        <v>969</v>
      </c>
      <c r="F146" s="80" t="s">
        <v>970</v>
      </c>
      <c r="G146" s="80" t="s">
        <v>358</v>
      </c>
      <c r="H146" s="80" t="s">
        <v>971</v>
      </c>
    </row>
    <row r="147" spans="1:8" ht="15.5" x14ac:dyDescent="0.35">
      <c r="A147" s="80" t="s">
        <v>907</v>
      </c>
      <c r="B147" s="80" t="s">
        <v>972</v>
      </c>
      <c r="C147" s="80" t="s">
        <v>960</v>
      </c>
      <c r="D147" s="80" t="s">
        <v>973</v>
      </c>
      <c r="E147" s="81" t="s">
        <v>974</v>
      </c>
      <c r="F147" s="80" t="s">
        <v>975</v>
      </c>
      <c r="G147" s="80" t="s">
        <v>375</v>
      </c>
      <c r="H147" s="80" t="s">
        <v>971</v>
      </c>
    </row>
    <row r="148" spans="1:8" ht="15.5" x14ac:dyDescent="0.35">
      <c r="A148" s="80" t="s">
        <v>907</v>
      </c>
      <c r="B148" s="80" t="s">
        <v>976</v>
      </c>
      <c r="C148" s="80" t="s">
        <v>960</v>
      </c>
      <c r="D148" s="80" t="s">
        <v>977</v>
      </c>
      <c r="E148" s="81" t="s">
        <v>978</v>
      </c>
      <c r="F148" s="80" t="s">
        <v>979</v>
      </c>
      <c r="G148" s="80" t="s">
        <v>375</v>
      </c>
      <c r="H148" s="80" t="s">
        <v>980</v>
      </c>
    </row>
    <row r="149" spans="1:8" ht="15.5" x14ac:dyDescent="0.35">
      <c r="A149" s="80" t="s">
        <v>748</v>
      </c>
      <c r="B149" s="80" t="s">
        <v>981</v>
      </c>
      <c r="C149" s="80" t="s">
        <v>960</v>
      </c>
      <c r="D149" s="80" t="s">
        <v>973</v>
      </c>
      <c r="E149" s="81" t="s">
        <v>982</v>
      </c>
      <c r="F149" s="80" t="s">
        <v>975</v>
      </c>
      <c r="G149" s="80" t="s">
        <v>358</v>
      </c>
      <c r="H149" s="80" t="s">
        <v>980</v>
      </c>
    </row>
    <row r="150" spans="1:8" ht="15.5" x14ac:dyDescent="0.35">
      <c r="A150" s="80" t="s">
        <v>748</v>
      </c>
      <c r="B150" s="80" t="s">
        <v>983</v>
      </c>
      <c r="C150" s="80" t="s">
        <v>960</v>
      </c>
      <c r="D150" s="80" t="s">
        <v>984</v>
      </c>
      <c r="E150" s="81" t="s">
        <v>985</v>
      </c>
      <c r="F150" s="80" t="s">
        <v>986</v>
      </c>
      <c r="G150" s="80" t="s">
        <v>358</v>
      </c>
      <c r="H150" s="80" t="s">
        <v>987</v>
      </c>
    </row>
    <row r="151" spans="1:8" ht="15.5" x14ac:dyDescent="0.35">
      <c r="A151" s="80" t="s">
        <v>907</v>
      </c>
      <c r="B151" s="80" t="s">
        <v>988</v>
      </c>
      <c r="C151" s="80" t="s">
        <v>960</v>
      </c>
      <c r="D151" s="80" t="s">
        <v>989</v>
      </c>
      <c r="E151" s="81" t="s">
        <v>990</v>
      </c>
      <c r="F151" s="80" t="s">
        <v>991</v>
      </c>
      <c r="G151" s="80" t="s">
        <v>375</v>
      </c>
      <c r="H151" s="80" t="s">
        <v>987</v>
      </c>
    </row>
    <row r="152" spans="1:8" ht="15.5" x14ac:dyDescent="0.35">
      <c r="A152" s="80" t="s">
        <v>907</v>
      </c>
      <c r="B152" s="80" t="s">
        <v>930</v>
      </c>
      <c r="C152" s="80" t="s">
        <v>960</v>
      </c>
      <c r="D152" s="80" t="s">
        <v>992</v>
      </c>
      <c r="E152" s="81" t="s">
        <v>932</v>
      </c>
      <c r="F152" s="80" t="s">
        <v>993</v>
      </c>
      <c r="G152" s="80" t="s">
        <v>375</v>
      </c>
      <c r="H152" s="80" t="s">
        <v>994</v>
      </c>
    </row>
    <row r="153" spans="1:8" ht="15.5" x14ac:dyDescent="0.35">
      <c r="A153" s="80" t="s">
        <v>748</v>
      </c>
      <c r="B153" s="80" t="s">
        <v>995</v>
      </c>
      <c r="C153" s="80" t="s">
        <v>960</v>
      </c>
      <c r="D153" s="80" t="s">
        <v>996</v>
      </c>
      <c r="E153" s="81" t="s">
        <v>997</v>
      </c>
      <c r="F153" s="80" t="s">
        <v>998</v>
      </c>
      <c r="G153" s="80" t="s">
        <v>358</v>
      </c>
      <c r="H153" s="80" t="s">
        <v>994</v>
      </c>
    </row>
    <row r="154" spans="1:8" ht="15.5" x14ac:dyDescent="0.35">
      <c r="A154" s="80" t="s">
        <v>748</v>
      </c>
      <c r="B154" s="80" t="s">
        <v>999</v>
      </c>
      <c r="C154" s="80" t="s">
        <v>960</v>
      </c>
      <c r="D154" s="80" t="s">
        <v>1000</v>
      </c>
      <c r="E154" s="81" t="s">
        <v>1001</v>
      </c>
      <c r="F154" s="80" t="s">
        <v>1002</v>
      </c>
      <c r="G154" s="80" t="s">
        <v>358</v>
      </c>
      <c r="H154" s="80" t="s">
        <v>364</v>
      </c>
    </row>
    <row r="155" spans="1:8" ht="15.5" x14ac:dyDescent="0.35">
      <c r="A155" s="80" t="s">
        <v>748</v>
      </c>
      <c r="B155" s="80" t="s">
        <v>1003</v>
      </c>
      <c r="C155" s="80" t="s">
        <v>960</v>
      </c>
      <c r="D155" s="80" t="s">
        <v>1004</v>
      </c>
      <c r="E155" s="81" t="s">
        <v>1005</v>
      </c>
      <c r="F155" s="80" t="s">
        <v>1006</v>
      </c>
      <c r="G155" s="80" t="s">
        <v>358</v>
      </c>
      <c r="H155" s="80" t="s">
        <v>364</v>
      </c>
    </row>
    <row r="156" spans="1:8" ht="15.5" x14ac:dyDescent="0.35">
      <c r="A156" s="80" t="s">
        <v>748</v>
      </c>
      <c r="B156" s="80" t="s">
        <v>1007</v>
      </c>
      <c r="C156" s="80" t="s">
        <v>960</v>
      </c>
      <c r="D156" s="80" t="s">
        <v>1008</v>
      </c>
      <c r="E156" s="81" t="s">
        <v>1009</v>
      </c>
      <c r="F156" s="80" t="s">
        <v>1010</v>
      </c>
      <c r="G156" s="80" t="s">
        <v>375</v>
      </c>
      <c r="H156" s="80" t="s">
        <v>1011</v>
      </c>
    </row>
    <row r="157" spans="1:8" ht="15.5" x14ac:dyDescent="0.35">
      <c r="A157" s="80" t="s">
        <v>907</v>
      </c>
      <c r="B157" s="80" t="s">
        <v>1012</v>
      </c>
      <c r="C157" s="80" t="s">
        <v>960</v>
      </c>
      <c r="D157" s="80" t="s">
        <v>1013</v>
      </c>
      <c r="E157" s="81" t="s">
        <v>1014</v>
      </c>
      <c r="F157" s="80" t="s">
        <v>1015</v>
      </c>
      <c r="G157" s="80" t="s">
        <v>375</v>
      </c>
      <c r="H157" s="80" t="s">
        <v>1011</v>
      </c>
    </row>
    <row r="158" spans="1:8" ht="15.5" x14ac:dyDescent="0.35">
      <c r="A158" s="80" t="s">
        <v>907</v>
      </c>
      <c r="B158" s="80" t="s">
        <v>1016</v>
      </c>
      <c r="C158" s="80" t="s">
        <v>960</v>
      </c>
      <c r="D158" s="80" t="s">
        <v>1017</v>
      </c>
      <c r="E158" s="81" t="s">
        <v>1018</v>
      </c>
      <c r="F158" s="80" t="s">
        <v>1019</v>
      </c>
      <c r="G158" s="80" t="s">
        <v>358</v>
      </c>
      <c r="H158" s="80" t="s">
        <v>1020</v>
      </c>
    </row>
    <row r="159" spans="1:8" ht="15.5" x14ac:dyDescent="0.35">
      <c r="A159" s="80" t="s">
        <v>748</v>
      </c>
      <c r="B159" s="80" t="s">
        <v>1021</v>
      </c>
      <c r="C159" s="80" t="s">
        <v>960</v>
      </c>
      <c r="D159" s="80" t="s">
        <v>1022</v>
      </c>
      <c r="E159" s="81" t="s">
        <v>1023</v>
      </c>
      <c r="F159" s="80" t="s">
        <v>1024</v>
      </c>
      <c r="G159" s="80" t="s">
        <v>358</v>
      </c>
      <c r="H159" s="80" t="s">
        <v>1020</v>
      </c>
    </row>
    <row r="160" spans="1:8" ht="15.5" x14ac:dyDescent="0.35">
      <c r="A160" s="80" t="s">
        <v>748</v>
      </c>
      <c r="B160" s="80" t="s">
        <v>1003</v>
      </c>
      <c r="C160" s="80" t="s">
        <v>960</v>
      </c>
      <c r="D160" s="80" t="s">
        <v>1025</v>
      </c>
      <c r="E160" s="81" t="s">
        <v>1005</v>
      </c>
      <c r="F160" s="80" t="s">
        <v>1026</v>
      </c>
      <c r="G160" s="80" t="s">
        <v>358</v>
      </c>
      <c r="H160" s="80" t="s">
        <v>364</v>
      </c>
    </row>
    <row r="161" spans="1:8" ht="15.5" x14ac:dyDescent="0.35">
      <c r="A161" s="80" t="s">
        <v>748</v>
      </c>
      <c r="B161" s="80" t="s">
        <v>999</v>
      </c>
      <c r="C161" s="80" t="s">
        <v>960</v>
      </c>
      <c r="D161" s="80" t="s">
        <v>1027</v>
      </c>
      <c r="E161" s="81" t="s">
        <v>1001</v>
      </c>
      <c r="F161" s="80" t="s">
        <v>1028</v>
      </c>
      <c r="G161" s="80" t="s">
        <v>358</v>
      </c>
      <c r="H161" s="80" t="s">
        <v>364</v>
      </c>
    </row>
    <row r="162" spans="1:8" ht="15.5" x14ac:dyDescent="0.35">
      <c r="A162" s="80" t="s">
        <v>748</v>
      </c>
      <c r="B162" s="80" t="s">
        <v>1029</v>
      </c>
      <c r="C162" s="80" t="s">
        <v>960</v>
      </c>
      <c r="D162" s="80" t="s">
        <v>1030</v>
      </c>
      <c r="E162" s="81" t="s">
        <v>1031</v>
      </c>
      <c r="F162" s="80" t="s">
        <v>1032</v>
      </c>
      <c r="G162" s="80" t="s">
        <v>358</v>
      </c>
      <c r="H162" s="80" t="s">
        <v>1033</v>
      </c>
    </row>
    <row r="163" spans="1:8" ht="15.5" x14ac:dyDescent="0.35">
      <c r="A163" s="80" t="s">
        <v>748</v>
      </c>
      <c r="B163" s="80" t="s">
        <v>1034</v>
      </c>
      <c r="C163" s="80" t="s">
        <v>960</v>
      </c>
      <c r="D163" s="80" t="s">
        <v>1035</v>
      </c>
      <c r="E163" s="81" t="s">
        <v>1036</v>
      </c>
      <c r="F163" s="80" t="s">
        <v>1037</v>
      </c>
      <c r="G163" s="80" t="s">
        <v>358</v>
      </c>
      <c r="H163" s="80" t="s">
        <v>364</v>
      </c>
    </row>
    <row r="164" spans="1:8" ht="15.5" x14ac:dyDescent="0.35">
      <c r="A164" s="80" t="s">
        <v>748</v>
      </c>
      <c r="B164" s="80" t="s">
        <v>769</v>
      </c>
      <c r="C164" s="80" t="s">
        <v>960</v>
      </c>
      <c r="D164" s="80" t="s">
        <v>1030</v>
      </c>
      <c r="E164" s="81" t="s">
        <v>771</v>
      </c>
      <c r="F164" s="80" t="s">
        <v>1032</v>
      </c>
      <c r="G164" s="80" t="s">
        <v>358</v>
      </c>
      <c r="H164" s="80" t="s">
        <v>364</v>
      </c>
    </row>
    <row r="165" spans="1:8" ht="15.5" x14ac:dyDescent="0.35">
      <c r="A165" s="80" t="s">
        <v>748</v>
      </c>
      <c r="B165" s="80" t="s">
        <v>1038</v>
      </c>
      <c r="C165" s="80" t="s">
        <v>960</v>
      </c>
      <c r="D165" s="80" t="s">
        <v>1039</v>
      </c>
      <c r="E165" s="81" t="s">
        <v>1040</v>
      </c>
      <c r="F165" s="80" t="s">
        <v>1041</v>
      </c>
      <c r="G165" s="80" t="s">
        <v>358</v>
      </c>
      <c r="H165" s="80" t="s">
        <v>364</v>
      </c>
    </row>
    <row r="166" spans="1:8" ht="15.5" x14ac:dyDescent="0.35">
      <c r="A166" s="80" t="s">
        <v>748</v>
      </c>
      <c r="B166" s="80" t="s">
        <v>769</v>
      </c>
      <c r="C166" s="80" t="s">
        <v>1042</v>
      </c>
      <c r="D166" s="80" t="s">
        <v>1043</v>
      </c>
      <c r="E166" s="81" t="s">
        <v>771</v>
      </c>
      <c r="F166" s="80" t="s">
        <v>1044</v>
      </c>
      <c r="G166" s="80" t="s">
        <v>358</v>
      </c>
      <c r="H166" s="80" t="s">
        <v>1045</v>
      </c>
    </row>
    <row r="167" spans="1:8" ht="15.5" x14ac:dyDescent="0.35">
      <c r="A167" s="80" t="s">
        <v>748</v>
      </c>
      <c r="B167" s="80" t="s">
        <v>1046</v>
      </c>
      <c r="C167" s="80" t="s">
        <v>1042</v>
      </c>
      <c r="D167" s="80" t="s">
        <v>1047</v>
      </c>
      <c r="E167" s="81" t="s">
        <v>1048</v>
      </c>
      <c r="F167" s="80" t="s">
        <v>1049</v>
      </c>
      <c r="G167" s="80" t="s">
        <v>375</v>
      </c>
      <c r="H167" s="80" t="s">
        <v>1045</v>
      </c>
    </row>
    <row r="168" spans="1:8" ht="15.5" x14ac:dyDescent="0.35">
      <c r="A168" s="80" t="s">
        <v>748</v>
      </c>
      <c r="B168" s="80" t="s">
        <v>1050</v>
      </c>
      <c r="C168" s="80" t="s">
        <v>1042</v>
      </c>
      <c r="D168" s="80" t="s">
        <v>1051</v>
      </c>
      <c r="E168" s="81" t="s">
        <v>1052</v>
      </c>
      <c r="F168" s="80" t="s">
        <v>1053</v>
      </c>
      <c r="G168" s="80" t="s">
        <v>375</v>
      </c>
      <c r="H168" s="80" t="s">
        <v>1054</v>
      </c>
    </row>
    <row r="169" spans="1:8" ht="15.5" x14ac:dyDescent="0.35">
      <c r="A169" s="80" t="s">
        <v>748</v>
      </c>
      <c r="B169" s="80" t="s">
        <v>1055</v>
      </c>
      <c r="C169" s="80" t="s">
        <v>1042</v>
      </c>
      <c r="D169" s="80" t="s">
        <v>1056</v>
      </c>
      <c r="E169" s="81" t="s">
        <v>1057</v>
      </c>
      <c r="F169" s="80" t="s">
        <v>1058</v>
      </c>
      <c r="G169" s="80" t="s">
        <v>358</v>
      </c>
      <c r="H169" s="80" t="s">
        <v>1054</v>
      </c>
    </row>
    <row r="170" spans="1:8" ht="15.5" x14ac:dyDescent="0.35">
      <c r="A170" s="80" t="s">
        <v>748</v>
      </c>
      <c r="B170" s="80" t="s">
        <v>874</v>
      </c>
      <c r="C170" s="80" t="s">
        <v>1042</v>
      </c>
      <c r="D170" s="80" t="s">
        <v>1059</v>
      </c>
      <c r="E170" s="81" t="s">
        <v>876</v>
      </c>
      <c r="F170" s="80" t="s">
        <v>1060</v>
      </c>
      <c r="G170" s="80" t="s">
        <v>358</v>
      </c>
      <c r="H170" s="80" t="s">
        <v>364</v>
      </c>
    </row>
    <row r="171" spans="1:8" ht="15.5" x14ac:dyDescent="0.35">
      <c r="A171" s="80" t="s">
        <v>748</v>
      </c>
      <c r="B171" s="80" t="s">
        <v>1061</v>
      </c>
      <c r="C171" s="80" t="s">
        <v>1042</v>
      </c>
      <c r="D171" s="80" t="s">
        <v>1062</v>
      </c>
      <c r="E171" s="81" t="s">
        <v>1063</v>
      </c>
      <c r="F171" s="80" t="s">
        <v>1064</v>
      </c>
      <c r="G171" s="80" t="s">
        <v>358</v>
      </c>
      <c r="H171" s="80" t="s">
        <v>1065</v>
      </c>
    </row>
    <row r="172" spans="1:8" ht="15.5" x14ac:dyDescent="0.35">
      <c r="A172" s="80" t="s">
        <v>907</v>
      </c>
      <c r="B172" s="80" t="s">
        <v>1066</v>
      </c>
      <c r="C172" s="80" t="s">
        <v>1042</v>
      </c>
      <c r="D172" s="80" t="s">
        <v>1067</v>
      </c>
      <c r="E172" s="81" t="s">
        <v>1068</v>
      </c>
      <c r="F172" s="80" t="s">
        <v>1069</v>
      </c>
      <c r="G172" s="80" t="s">
        <v>375</v>
      </c>
      <c r="H172" s="80" t="s">
        <v>1065</v>
      </c>
    </row>
    <row r="173" spans="1:8" ht="15.5" x14ac:dyDescent="0.35">
      <c r="A173" s="80" t="s">
        <v>907</v>
      </c>
      <c r="B173" s="80" t="s">
        <v>1070</v>
      </c>
      <c r="C173" s="80" t="s">
        <v>1042</v>
      </c>
      <c r="D173" s="80" t="s">
        <v>1071</v>
      </c>
      <c r="E173" s="81" t="s">
        <v>1072</v>
      </c>
      <c r="F173" s="80" t="s">
        <v>1073</v>
      </c>
      <c r="G173" s="80" t="s">
        <v>375</v>
      </c>
      <c r="H173" s="80" t="s">
        <v>1074</v>
      </c>
    </row>
    <row r="174" spans="1:8" ht="15.5" x14ac:dyDescent="0.35">
      <c r="A174" s="80" t="s">
        <v>748</v>
      </c>
      <c r="B174" s="80" t="s">
        <v>1075</v>
      </c>
      <c r="C174" s="80" t="s">
        <v>1042</v>
      </c>
      <c r="D174" s="80" t="s">
        <v>1076</v>
      </c>
      <c r="E174" s="81" t="s">
        <v>1077</v>
      </c>
      <c r="F174" s="80" t="s">
        <v>1078</v>
      </c>
      <c r="G174" s="80" t="s">
        <v>358</v>
      </c>
      <c r="H174" s="80" t="s">
        <v>1074</v>
      </c>
    </row>
    <row r="175" spans="1:8" ht="15.5" x14ac:dyDescent="0.35">
      <c r="A175" s="80" t="s">
        <v>748</v>
      </c>
      <c r="B175" s="80" t="s">
        <v>845</v>
      </c>
      <c r="C175" s="80" t="s">
        <v>1042</v>
      </c>
      <c r="D175" s="80" t="s">
        <v>1079</v>
      </c>
      <c r="E175" s="81" t="s">
        <v>848</v>
      </c>
      <c r="F175" s="80" t="s">
        <v>1080</v>
      </c>
      <c r="G175" s="80" t="s">
        <v>358</v>
      </c>
      <c r="H175" s="80" t="s">
        <v>1081</v>
      </c>
    </row>
    <row r="176" spans="1:8" ht="15.5" x14ac:dyDescent="0.35">
      <c r="A176" s="80" t="s">
        <v>907</v>
      </c>
      <c r="B176" s="80" t="s">
        <v>1082</v>
      </c>
      <c r="C176" s="80" t="s">
        <v>1083</v>
      </c>
      <c r="D176" s="80" t="s">
        <v>1084</v>
      </c>
      <c r="E176" s="81" t="s">
        <v>1085</v>
      </c>
      <c r="F176" s="80" t="s">
        <v>1086</v>
      </c>
      <c r="G176" s="80" t="s">
        <v>375</v>
      </c>
      <c r="H176" s="80" t="s">
        <v>1081</v>
      </c>
    </row>
    <row r="177" spans="1:8" ht="15.5" x14ac:dyDescent="0.35">
      <c r="A177" s="80" t="s">
        <v>907</v>
      </c>
      <c r="B177" s="80" t="s">
        <v>1087</v>
      </c>
      <c r="C177" s="80" t="s">
        <v>1083</v>
      </c>
      <c r="D177" s="80" t="s">
        <v>1088</v>
      </c>
      <c r="E177" s="81" t="s">
        <v>1089</v>
      </c>
      <c r="F177" s="80" t="s">
        <v>1090</v>
      </c>
      <c r="G177" s="80" t="s">
        <v>375</v>
      </c>
      <c r="H177" s="80" t="s">
        <v>1091</v>
      </c>
    </row>
    <row r="178" spans="1:8" ht="15.5" x14ac:dyDescent="0.35">
      <c r="A178" s="80" t="s">
        <v>748</v>
      </c>
      <c r="B178" s="80" t="s">
        <v>1092</v>
      </c>
      <c r="C178" s="80" t="s">
        <v>1083</v>
      </c>
      <c r="D178" s="80" t="s">
        <v>1093</v>
      </c>
      <c r="E178" s="81" t="s">
        <v>1094</v>
      </c>
      <c r="F178" s="80" t="s">
        <v>1095</v>
      </c>
      <c r="G178" s="80" t="s">
        <v>358</v>
      </c>
      <c r="H178" s="80" t="s">
        <v>1091</v>
      </c>
    </row>
    <row r="179" spans="1:8" ht="15.5" x14ac:dyDescent="0.35">
      <c r="A179" s="80" t="s">
        <v>748</v>
      </c>
      <c r="B179" s="80" t="s">
        <v>1096</v>
      </c>
      <c r="C179" s="80" t="s">
        <v>1083</v>
      </c>
      <c r="D179" s="80" t="s">
        <v>1097</v>
      </c>
      <c r="E179" s="81" t="s">
        <v>1098</v>
      </c>
      <c r="F179" s="80" t="s">
        <v>1099</v>
      </c>
      <c r="G179" s="80" t="s">
        <v>358</v>
      </c>
      <c r="H179" s="80" t="s">
        <v>364</v>
      </c>
    </row>
    <row r="180" spans="1:8" ht="15.5" x14ac:dyDescent="0.35">
      <c r="A180" s="80" t="s">
        <v>748</v>
      </c>
      <c r="B180" s="80" t="s">
        <v>753</v>
      </c>
      <c r="C180" s="80" t="s">
        <v>1083</v>
      </c>
      <c r="D180" s="80" t="s">
        <v>1100</v>
      </c>
      <c r="E180" s="81" t="s">
        <v>755</v>
      </c>
      <c r="F180" s="80" t="s">
        <v>1101</v>
      </c>
      <c r="G180" s="80" t="s">
        <v>358</v>
      </c>
      <c r="H180" s="80" t="s">
        <v>1102</v>
      </c>
    </row>
    <row r="181" spans="1:8" ht="15.5" x14ac:dyDescent="0.35">
      <c r="A181" s="80" t="s">
        <v>748</v>
      </c>
      <c r="B181" s="80" t="s">
        <v>1103</v>
      </c>
      <c r="C181" s="80" t="s">
        <v>1083</v>
      </c>
      <c r="D181" s="80" t="s">
        <v>1104</v>
      </c>
      <c r="E181" s="81" t="s">
        <v>1105</v>
      </c>
      <c r="F181" s="80" t="s">
        <v>1106</v>
      </c>
      <c r="G181" s="80" t="s">
        <v>358</v>
      </c>
      <c r="H181" s="80" t="s">
        <v>364</v>
      </c>
    </row>
    <row r="182" spans="1:8" ht="15.5" x14ac:dyDescent="0.35">
      <c r="A182" s="80" t="s">
        <v>748</v>
      </c>
      <c r="B182" s="80" t="s">
        <v>1107</v>
      </c>
      <c r="C182" s="80" t="s">
        <v>1083</v>
      </c>
      <c r="D182" s="80" t="s">
        <v>1108</v>
      </c>
      <c r="E182" s="81" t="s">
        <v>1109</v>
      </c>
      <c r="F182" s="80" t="s">
        <v>1110</v>
      </c>
      <c r="G182" s="80" t="s">
        <v>358</v>
      </c>
      <c r="H182" s="80" t="s">
        <v>364</v>
      </c>
    </row>
    <row r="183" spans="1:8" ht="15.5" x14ac:dyDescent="0.35">
      <c r="A183" s="80" t="s">
        <v>748</v>
      </c>
      <c r="B183" s="80" t="s">
        <v>1111</v>
      </c>
      <c r="C183" s="80" t="s">
        <v>1083</v>
      </c>
      <c r="D183" s="80" t="s">
        <v>1112</v>
      </c>
      <c r="E183" s="81" t="s">
        <v>1113</v>
      </c>
      <c r="F183" s="80" t="s">
        <v>1114</v>
      </c>
      <c r="G183" s="80" t="s">
        <v>358</v>
      </c>
      <c r="H183" s="80" t="s">
        <v>1115</v>
      </c>
    </row>
    <row r="184" spans="1:8" ht="15.5" x14ac:dyDescent="0.35">
      <c r="A184" s="80" t="s">
        <v>907</v>
      </c>
      <c r="B184" s="80" t="s">
        <v>1116</v>
      </c>
      <c r="C184" s="80" t="s">
        <v>1083</v>
      </c>
      <c r="D184" s="80" t="s">
        <v>1117</v>
      </c>
      <c r="E184" s="81" t="s">
        <v>1118</v>
      </c>
      <c r="F184" s="80" t="s">
        <v>1119</v>
      </c>
      <c r="G184" s="80" t="s">
        <v>375</v>
      </c>
      <c r="H184" s="80" t="s">
        <v>1115</v>
      </c>
    </row>
    <row r="185" spans="1:8" ht="15.5" x14ac:dyDescent="0.35">
      <c r="A185" s="80" t="s">
        <v>907</v>
      </c>
      <c r="B185" s="80" t="s">
        <v>1120</v>
      </c>
      <c r="C185" s="80" t="s">
        <v>1083</v>
      </c>
      <c r="D185" s="80" t="s">
        <v>1121</v>
      </c>
      <c r="E185" s="81" t="s">
        <v>1122</v>
      </c>
      <c r="F185" s="80" t="s">
        <v>1123</v>
      </c>
      <c r="G185" s="80" t="s">
        <v>375</v>
      </c>
      <c r="H185" s="80" t="s">
        <v>1124</v>
      </c>
    </row>
    <row r="186" spans="1:8" ht="15.5" x14ac:dyDescent="0.35">
      <c r="A186" s="80" t="s">
        <v>748</v>
      </c>
      <c r="B186" s="80" t="s">
        <v>1125</v>
      </c>
      <c r="C186" s="80" t="s">
        <v>1083</v>
      </c>
      <c r="D186" s="80" t="s">
        <v>1126</v>
      </c>
      <c r="E186" s="81" t="s">
        <v>1127</v>
      </c>
      <c r="F186" s="80" t="s">
        <v>1128</v>
      </c>
      <c r="G186" s="80" t="s">
        <v>358</v>
      </c>
      <c r="H186" s="80" t="s">
        <v>1124</v>
      </c>
    </row>
    <row r="187" spans="1:8" ht="15.5" x14ac:dyDescent="0.35">
      <c r="A187" s="80" t="s">
        <v>748</v>
      </c>
      <c r="B187" s="80" t="s">
        <v>1129</v>
      </c>
      <c r="C187" s="80" t="s">
        <v>1083</v>
      </c>
      <c r="D187" s="80" t="s">
        <v>1130</v>
      </c>
      <c r="E187" s="81" t="s">
        <v>1131</v>
      </c>
      <c r="F187" s="80" t="s">
        <v>1132</v>
      </c>
      <c r="G187" s="80" t="s">
        <v>358</v>
      </c>
      <c r="H187" s="80" t="s">
        <v>364</v>
      </c>
    </row>
    <row r="188" spans="1:8" ht="15.5" x14ac:dyDescent="0.35">
      <c r="A188" s="80" t="s">
        <v>748</v>
      </c>
      <c r="B188" s="80" t="s">
        <v>1133</v>
      </c>
      <c r="C188" s="80" t="s">
        <v>1083</v>
      </c>
      <c r="D188" s="80" t="s">
        <v>1134</v>
      </c>
      <c r="E188" s="81" t="s">
        <v>1135</v>
      </c>
      <c r="F188" s="80" t="s">
        <v>1136</v>
      </c>
      <c r="G188" s="80" t="s">
        <v>358</v>
      </c>
      <c r="H188" s="80" t="s">
        <v>364</v>
      </c>
    </row>
    <row r="189" spans="1:8" ht="15.5" x14ac:dyDescent="0.35">
      <c r="A189" s="80" t="s">
        <v>748</v>
      </c>
      <c r="B189" s="80" t="s">
        <v>1137</v>
      </c>
      <c r="C189" s="80" t="s">
        <v>1083</v>
      </c>
      <c r="D189" s="80" t="s">
        <v>1138</v>
      </c>
      <c r="E189" s="81" t="s">
        <v>1139</v>
      </c>
      <c r="F189" s="80" t="s">
        <v>1140</v>
      </c>
      <c r="G189" s="80" t="s">
        <v>358</v>
      </c>
      <c r="H189" s="80" t="s">
        <v>1141</v>
      </c>
    </row>
    <row r="190" spans="1:8" ht="15.5" x14ac:dyDescent="0.35">
      <c r="A190" s="80" t="s">
        <v>907</v>
      </c>
      <c r="B190" s="80" t="s">
        <v>1142</v>
      </c>
      <c r="C190" s="80" t="s">
        <v>1083</v>
      </c>
      <c r="D190" s="80" t="s">
        <v>1143</v>
      </c>
      <c r="E190" s="81" t="s">
        <v>1144</v>
      </c>
      <c r="F190" s="80" t="s">
        <v>1145</v>
      </c>
      <c r="G190" s="80" t="s">
        <v>375</v>
      </c>
      <c r="H190" s="80" t="s">
        <v>1141</v>
      </c>
    </row>
    <row r="191" spans="1:8" ht="15.5" x14ac:dyDescent="0.35">
      <c r="A191" s="80" t="s">
        <v>748</v>
      </c>
      <c r="B191" s="80" t="s">
        <v>1146</v>
      </c>
      <c r="C191" s="80" t="s">
        <v>1147</v>
      </c>
      <c r="D191" s="80" t="s">
        <v>1148</v>
      </c>
      <c r="E191" s="81" t="s">
        <v>1149</v>
      </c>
      <c r="F191" s="80" t="s">
        <v>1150</v>
      </c>
      <c r="G191" s="80" t="s">
        <v>375</v>
      </c>
      <c r="H191" s="80" t="s">
        <v>1151</v>
      </c>
    </row>
    <row r="192" spans="1:8" ht="15.5" x14ac:dyDescent="0.35">
      <c r="A192" s="80" t="s">
        <v>748</v>
      </c>
      <c r="B192" s="80" t="s">
        <v>760</v>
      </c>
      <c r="C192" s="80" t="s">
        <v>1083</v>
      </c>
      <c r="D192" s="80" t="s">
        <v>1152</v>
      </c>
      <c r="E192" s="81" t="s">
        <v>762</v>
      </c>
      <c r="F192" s="80" t="s">
        <v>1153</v>
      </c>
      <c r="G192" s="80" t="s">
        <v>358</v>
      </c>
      <c r="H192" s="80" t="s">
        <v>1151</v>
      </c>
    </row>
    <row r="193" spans="1:8" ht="15.5" x14ac:dyDescent="0.35">
      <c r="A193" s="80" t="s">
        <v>748</v>
      </c>
      <c r="B193" s="80" t="s">
        <v>760</v>
      </c>
      <c r="C193" s="80" t="s">
        <v>1147</v>
      </c>
      <c r="D193" s="80" t="s">
        <v>1154</v>
      </c>
      <c r="E193" s="81" t="s">
        <v>762</v>
      </c>
      <c r="F193" s="80" t="s">
        <v>1155</v>
      </c>
      <c r="G193" s="80" t="s">
        <v>358</v>
      </c>
      <c r="H193" s="80" t="s">
        <v>1156</v>
      </c>
    </row>
    <row r="194" spans="1:8" ht="15.5" x14ac:dyDescent="0.35">
      <c r="A194" s="80" t="s">
        <v>748</v>
      </c>
      <c r="B194" s="80" t="s">
        <v>1157</v>
      </c>
      <c r="C194" s="80" t="s">
        <v>1147</v>
      </c>
      <c r="D194" s="80" t="s">
        <v>1158</v>
      </c>
      <c r="E194" s="81" t="s">
        <v>1159</v>
      </c>
      <c r="F194" s="80" t="s">
        <v>1160</v>
      </c>
      <c r="G194" s="80" t="s">
        <v>375</v>
      </c>
      <c r="H194" s="80" t="s">
        <v>1156</v>
      </c>
    </row>
    <row r="195" spans="1:8" ht="15.5" x14ac:dyDescent="0.35">
      <c r="A195" s="80" t="s">
        <v>748</v>
      </c>
      <c r="B195" s="80" t="s">
        <v>1161</v>
      </c>
      <c r="C195" s="80" t="s">
        <v>1147</v>
      </c>
      <c r="D195" s="80" t="s">
        <v>1162</v>
      </c>
      <c r="E195" s="81" t="s">
        <v>1163</v>
      </c>
      <c r="F195" s="80" t="s">
        <v>1164</v>
      </c>
      <c r="G195" s="80" t="s">
        <v>375</v>
      </c>
      <c r="H195" s="80" t="s">
        <v>1165</v>
      </c>
    </row>
    <row r="196" spans="1:8" ht="15.5" x14ac:dyDescent="0.35">
      <c r="A196" s="80" t="s">
        <v>748</v>
      </c>
      <c r="B196" s="80" t="s">
        <v>1166</v>
      </c>
      <c r="C196" s="80" t="s">
        <v>1147</v>
      </c>
      <c r="D196" s="80" t="s">
        <v>1167</v>
      </c>
      <c r="E196" s="81" t="s">
        <v>1168</v>
      </c>
      <c r="F196" s="80" t="s">
        <v>1169</v>
      </c>
      <c r="G196" s="80" t="s">
        <v>358</v>
      </c>
      <c r="H196" s="80" t="s">
        <v>1165</v>
      </c>
    </row>
    <row r="197" spans="1:8" ht="15.5" x14ac:dyDescent="0.35">
      <c r="A197" s="80" t="s">
        <v>748</v>
      </c>
      <c r="B197" s="80" t="s">
        <v>1103</v>
      </c>
      <c r="C197" s="80" t="s">
        <v>1147</v>
      </c>
      <c r="D197" s="80" t="s">
        <v>1170</v>
      </c>
      <c r="E197" s="81" t="s">
        <v>1105</v>
      </c>
      <c r="F197" s="80" t="s">
        <v>1171</v>
      </c>
      <c r="G197" s="80" t="s">
        <v>358</v>
      </c>
      <c r="H197" s="80" t="s">
        <v>364</v>
      </c>
    </row>
    <row r="198" spans="1:8" ht="15.5" x14ac:dyDescent="0.35">
      <c r="A198" s="80" t="s">
        <v>748</v>
      </c>
      <c r="B198" s="80" t="s">
        <v>1172</v>
      </c>
      <c r="C198" s="80" t="s">
        <v>1147</v>
      </c>
      <c r="D198" s="80" t="s">
        <v>1170</v>
      </c>
      <c r="E198" s="81" t="s">
        <v>1173</v>
      </c>
      <c r="F198" s="80" t="s">
        <v>1171</v>
      </c>
      <c r="G198" s="80" t="s">
        <v>358</v>
      </c>
      <c r="H198" s="80" t="s">
        <v>364</v>
      </c>
    </row>
    <row r="199" spans="1:8" ht="15.5" x14ac:dyDescent="0.35">
      <c r="A199" s="80" t="s">
        <v>748</v>
      </c>
      <c r="B199" s="80" t="s">
        <v>1174</v>
      </c>
      <c r="C199" s="80" t="s">
        <v>1147</v>
      </c>
      <c r="D199" s="80" t="s">
        <v>1175</v>
      </c>
      <c r="E199" s="81" t="s">
        <v>1176</v>
      </c>
      <c r="F199" s="80" t="s">
        <v>1177</v>
      </c>
      <c r="G199" s="80" t="s">
        <v>358</v>
      </c>
      <c r="H199" s="80" t="s">
        <v>364</v>
      </c>
    </row>
    <row r="200" spans="1:8" ht="15.5" x14ac:dyDescent="0.35">
      <c r="A200" s="80" t="s">
        <v>748</v>
      </c>
      <c r="B200" s="80" t="s">
        <v>1178</v>
      </c>
      <c r="C200" s="80" t="s">
        <v>1147</v>
      </c>
      <c r="D200" s="80" t="s">
        <v>1179</v>
      </c>
      <c r="E200" s="81" t="s">
        <v>1180</v>
      </c>
      <c r="F200" s="80" t="s">
        <v>1181</v>
      </c>
      <c r="G200" s="80" t="s">
        <v>358</v>
      </c>
      <c r="H200" s="80" t="s">
        <v>364</v>
      </c>
    </row>
    <row r="201" spans="1:8" ht="15.5" x14ac:dyDescent="0.35">
      <c r="A201" s="80" t="s">
        <v>748</v>
      </c>
      <c r="B201" s="80" t="s">
        <v>1182</v>
      </c>
      <c r="C201" s="80" t="s">
        <v>1147</v>
      </c>
      <c r="D201" s="80" t="s">
        <v>1183</v>
      </c>
      <c r="E201" s="81" t="s">
        <v>1184</v>
      </c>
      <c r="F201" s="80" t="s">
        <v>1185</v>
      </c>
      <c r="G201" s="80" t="s">
        <v>358</v>
      </c>
      <c r="H201" s="80" t="s">
        <v>364</v>
      </c>
    </row>
    <row r="202" spans="1:8" ht="15.5" x14ac:dyDescent="0.35">
      <c r="A202" s="80" t="s">
        <v>748</v>
      </c>
      <c r="B202" s="80" t="s">
        <v>1133</v>
      </c>
      <c r="C202" s="80" t="s">
        <v>1147</v>
      </c>
      <c r="D202" s="80" t="s">
        <v>1186</v>
      </c>
      <c r="E202" s="81" t="s">
        <v>1135</v>
      </c>
      <c r="F202" s="80" t="s">
        <v>1187</v>
      </c>
      <c r="G202" s="80" t="s">
        <v>358</v>
      </c>
      <c r="H202" s="80" t="s">
        <v>1188</v>
      </c>
    </row>
    <row r="203" spans="1:8" ht="15.5" x14ac:dyDescent="0.35">
      <c r="A203" s="80" t="s">
        <v>748</v>
      </c>
      <c r="B203" s="80" t="s">
        <v>1189</v>
      </c>
      <c r="C203" s="80" t="s">
        <v>1147</v>
      </c>
      <c r="D203" s="80" t="s">
        <v>1190</v>
      </c>
      <c r="E203" s="81" t="s">
        <v>1191</v>
      </c>
      <c r="F203" s="80" t="s">
        <v>1192</v>
      </c>
      <c r="G203" s="80" t="s">
        <v>375</v>
      </c>
      <c r="H203" s="80" t="s">
        <v>1188</v>
      </c>
    </row>
    <row r="204" spans="1:8" ht="15.5" x14ac:dyDescent="0.35">
      <c r="A204" s="80" t="s">
        <v>748</v>
      </c>
      <c r="B204" s="80" t="s">
        <v>1193</v>
      </c>
      <c r="C204" s="80" t="s">
        <v>1194</v>
      </c>
      <c r="D204" s="80" t="s">
        <v>1195</v>
      </c>
      <c r="E204" s="81" t="s">
        <v>1196</v>
      </c>
      <c r="F204" s="80" t="s">
        <v>1197</v>
      </c>
      <c r="G204" s="80" t="s">
        <v>375</v>
      </c>
      <c r="H204" s="80" t="s">
        <v>1198</v>
      </c>
    </row>
    <row r="205" spans="1:8" ht="15.5" x14ac:dyDescent="0.35">
      <c r="A205" s="80" t="s">
        <v>748</v>
      </c>
      <c r="B205" s="80" t="s">
        <v>1199</v>
      </c>
      <c r="C205" s="80" t="s">
        <v>1147</v>
      </c>
      <c r="D205" s="80" t="s">
        <v>1200</v>
      </c>
      <c r="E205" s="81" t="s">
        <v>1201</v>
      </c>
      <c r="F205" s="80" t="s">
        <v>1202</v>
      </c>
      <c r="G205" s="80" t="s">
        <v>358</v>
      </c>
      <c r="H205" s="80" t="s">
        <v>1198</v>
      </c>
    </row>
    <row r="206" spans="1:8" ht="15.5" x14ac:dyDescent="0.35">
      <c r="A206" s="80" t="s">
        <v>748</v>
      </c>
      <c r="B206" s="80" t="s">
        <v>758</v>
      </c>
      <c r="C206" s="80" t="s">
        <v>1147</v>
      </c>
      <c r="D206" s="80" t="s">
        <v>1203</v>
      </c>
      <c r="E206" s="81" t="s">
        <v>759</v>
      </c>
      <c r="F206" s="80" t="s">
        <v>1204</v>
      </c>
      <c r="G206" s="80" t="s">
        <v>358</v>
      </c>
      <c r="H206" s="80" t="s">
        <v>364</v>
      </c>
    </row>
    <row r="207" spans="1:8" ht="15.5" x14ac:dyDescent="0.35">
      <c r="A207" s="80" t="s">
        <v>748</v>
      </c>
      <c r="B207" s="80" t="s">
        <v>1205</v>
      </c>
      <c r="C207" s="80" t="s">
        <v>1194</v>
      </c>
      <c r="D207" s="80" t="s">
        <v>1206</v>
      </c>
      <c r="E207" s="81" t="s">
        <v>1207</v>
      </c>
      <c r="F207" s="80" t="s">
        <v>1208</v>
      </c>
      <c r="G207" s="80" t="s">
        <v>358</v>
      </c>
      <c r="H207" s="80" t="s">
        <v>364</v>
      </c>
    </row>
    <row r="208" spans="1:8" ht="15.5" x14ac:dyDescent="0.35">
      <c r="A208" s="80" t="s">
        <v>748</v>
      </c>
      <c r="B208" s="80" t="s">
        <v>1209</v>
      </c>
      <c r="C208" s="80" t="s">
        <v>1194</v>
      </c>
      <c r="D208" s="80" t="s">
        <v>1210</v>
      </c>
      <c r="E208" s="81" t="s">
        <v>1211</v>
      </c>
      <c r="F208" s="80" t="s">
        <v>1212</v>
      </c>
      <c r="G208" s="80" t="s">
        <v>358</v>
      </c>
      <c r="H208" s="80" t="s">
        <v>1213</v>
      </c>
    </row>
    <row r="209" spans="1:8" ht="15.5" x14ac:dyDescent="0.35">
      <c r="A209" s="80" t="s">
        <v>748</v>
      </c>
      <c r="B209" s="80" t="s">
        <v>834</v>
      </c>
      <c r="C209" s="80" t="s">
        <v>1194</v>
      </c>
      <c r="D209" s="80" t="s">
        <v>1214</v>
      </c>
      <c r="E209" s="81" t="s">
        <v>836</v>
      </c>
      <c r="F209" s="80" t="s">
        <v>1215</v>
      </c>
      <c r="G209" s="80" t="s">
        <v>375</v>
      </c>
      <c r="H209" s="80" t="s">
        <v>1213</v>
      </c>
    </row>
    <row r="210" spans="1:8" ht="15.5" x14ac:dyDescent="0.35">
      <c r="A210" s="80" t="s">
        <v>748</v>
      </c>
      <c r="B210" s="80" t="s">
        <v>983</v>
      </c>
      <c r="C210" s="80" t="s">
        <v>1194</v>
      </c>
      <c r="D210" s="80" t="s">
        <v>1216</v>
      </c>
      <c r="E210" s="81" t="s">
        <v>985</v>
      </c>
      <c r="F210" s="80" t="s">
        <v>1217</v>
      </c>
      <c r="G210" s="80" t="s">
        <v>375</v>
      </c>
      <c r="H210" s="80" t="s">
        <v>1218</v>
      </c>
    </row>
    <row r="211" spans="1:8" ht="15.5" x14ac:dyDescent="0.35">
      <c r="A211" s="80" t="s">
        <v>748</v>
      </c>
      <c r="B211" s="80" t="s">
        <v>1219</v>
      </c>
      <c r="C211" s="80" t="s">
        <v>1194</v>
      </c>
      <c r="D211" s="80" t="s">
        <v>1220</v>
      </c>
      <c r="E211" s="81" t="s">
        <v>1221</v>
      </c>
      <c r="F211" s="80" t="s">
        <v>1222</v>
      </c>
      <c r="G211" s="80" t="s">
        <v>358</v>
      </c>
      <c r="H211" s="80" t="s">
        <v>1218</v>
      </c>
    </row>
    <row r="212" spans="1:8" ht="15.5" x14ac:dyDescent="0.35">
      <c r="A212" s="80" t="s">
        <v>748</v>
      </c>
      <c r="B212" s="80" t="s">
        <v>1223</v>
      </c>
      <c r="C212" s="80" t="s">
        <v>1194</v>
      </c>
      <c r="D212" s="80" t="s">
        <v>1224</v>
      </c>
      <c r="E212" s="81" t="s">
        <v>1225</v>
      </c>
      <c r="F212" s="80" t="s">
        <v>1226</v>
      </c>
      <c r="G212" s="80" t="s">
        <v>358</v>
      </c>
      <c r="H212" s="80" t="s">
        <v>364</v>
      </c>
    </row>
    <row r="213" spans="1:8" ht="15.5" x14ac:dyDescent="0.35">
      <c r="A213" s="80" t="s">
        <v>748</v>
      </c>
      <c r="B213" s="80" t="s">
        <v>753</v>
      </c>
      <c r="C213" s="80" t="s">
        <v>1194</v>
      </c>
      <c r="D213" s="80" t="s">
        <v>1227</v>
      </c>
      <c r="E213" s="81" t="s">
        <v>755</v>
      </c>
      <c r="F213" s="80" t="s">
        <v>1228</v>
      </c>
      <c r="G213" s="80" t="s">
        <v>358</v>
      </c>
      <c r="H213" s="80" t="s">
        <v>364</v>
      </c>
    </row>
    <row r="214" spans="1:8" ht="15.5" x14ac:dyDescent="0.35">
      <c r="A214" s="80" t="s">
        <v>748</v>
      </c>
      <c r="B214" s="80" t="s">
        <v>1229</v>
      </c>
      <c r="C214" s="80" t="s">
        <v>1194</v>
      </c>
      <c r="D214" s="80" t="s">
        <v>1230</v>
      </c>
      <c r="E214" s="81" t="s">
        <v>1231</v>
      </c>
      <c r="F214" s="80" t="s">
        <v>1232</v>
      </c>
      <c r="G214" s="80" t="s">
        <v>358</v>
      </c>
      <c r="H214" s="80" t="s">
        <v>364</v>
      </c>
    </row>
    <row r="215" spans="1:8" ht="15.5" x14ac:dyDescent="0.35">
      <c r="A215" s="80" t="s">
        <v>748</v>
      </c>
      <c r="B215" s="80" t="s">
        <v>1233</v>
      </c>
      <c r="C215" s="80" t="s">
        <v>1194</v>
      </c>
      <c r="D215" s="80" t="s">
        <v>1234</v>
      </c>
      <c r="E215" s="81" t="s">
        <v>1235</v>
      </c>
      <c r="F215" s="80" t="s">
        <v>1236</v>
      </c>
      <c r="G215" s="80" t="s">
        <v>358</v>
      </c>
      <c r="H215" s="80" t="s">
        <v>364</v>
      </c>
    </row>
    <row r="216" spans="1:8" ht="15.5" x14ac:dyDescent="0.35">
      <c r="A216" s="80" t="s">
        <v>748</v>
      </c>
      <c r="B216" s="80" t="s">
        <v>1237</v>
      </c>
      <c r="C216" s="80" t="s">
        <v>1194</v>
      </c>
      <c r="D216" s="80" t="s">
        <v>1238</v>
      </c>
      <c r="E216" s="81" t="s">
        <v>1239</v>
      </c>
      <c r="F216" s="80" t="s">
        <v>1240</v>
      </c>
      <c r="G216" s="80" t="s">
        <v>358</v>
      </c>
      <c r="H216" s="80" t="s">
        <v>1241</v>
      </c>
    </row>
    <row r="217" spans="1:8" ht="15.5" x14ac:dyDescent="0.35">
      <c r="A217" s="80" t="s">
        <v>748</v>
      </c>
      <c r="B217" s="80" t="s">
        <v>823</v>
      </c>
      <c r="C217" s="80" t="s">
        <v>1194</v>
      </c>
      <c r="D217" s="80" t="s">
        <v>1242</v>
      </c>
      <c r="E217" s="81" t="s">
        <v>824</v>
      </c>
      <c r="F217" s="80" t="s">
        <v>1243</v>
      </c>
      <c r="G217" s="80" t="s">
        <v>358</v>
      </c>
      <c r="H217" s="80" t="s">
        <v>364</v>
      </c>
    </row>
    <row r="218" spans="1:8" ht="15.5" x14ac:dyDescent="0.35">
      <c r="A218" s="80" t="s">
        <v>748</v>
      </c>
      <c r="B218" s="80" t="s">
        <v>819</v>
      </c>
      <c r="C218" s="80" t="s">
        <v>1194</v>
      </c>
      <c r="D218" s="80" t="s">
        <v>1244</v>
      </c>
      <c r="E218" s="81" t="s">
        <v>821</v>
      </c>
      <c r="F218" s="80" t="s">
        <v>1245</v>
      </c>
      <c r="G218" s="80" t="s">
        <v>358</v>
      </c>
      <c r="H218" s="80" t="s">
        <v>364</v>
      </c>
    </row>
    <row r="219" spans="1:8" ht="15.5" x14ac:dyDescent="0.35">
      <c r="A219" s="80" t="s">
        <v>748</v>
      </c>
      <c r="B219" s="80" t="s">
        <v>1246</v>
      </c>
      <c r="C219" s="80" t="s">
        <v>1194</v>
      </c>
      <c r="D219" s="80" t="s">
        <v>1247</v>
      </c>
      <c r="E219" s="81" t="s">
        <v>1248</v>
      </c>
      <c r="F219" s="80" t="s">
        <v>1249</v>
      </c>
      <c r="G219" s="80" t="s">
        <v>358</v>
      </c>
      <c r="H219" s="80" t="s">
        <v>1250</v>
      </c>
    </row>
    <row r="220" spans="1:8" ht="15.5" x14ac:dyDescent="0.35">
      <c r="A220" s="80" t="s">
        <v>748</v>
      </c>
      <c r="B220" s="80" t="s">
        <v>1251</v>
      </c>
      <c r="C220" s="80" t="s">
        <v>1252</v>
      </c>
      <c r="D220" s="80" t="s">
        <v>1253</v>
      </c>
      <c r="E220" s="81" t="s">
        <v>1254</v>
      </c>
      <c r="F220" s="80" t="s">
        <v>1255</v>
      </c>
      <c r="G220" s="80" t="s">
        <v>375</v>
      </c>
      <c r="H220" s="80" t="s">
        <v>1250</v>
      </c>
    </row>
    <row r="221" spans="1:8" ht="15.5" x14ac:dyDescent="0.35">
      <c r="A221" s="80" t="s">
        <v>748</v>
      </c>
      <c r="B221" s="80" t="s">
        <v>1256</v>
      </c>
      <c r="C221" s="80" t="s">
        <v>1252</v>
      </c>
      <c r="D221" s="80" t="s">
        <v>1257</v>
      </c>
      <c r="E221" s="81" t="s">
        <v>1258</v>
      </c>
      <c r="F221" s="80" t="s">
        <v>1259</v>
      </c>
      <c r="G221" s="80" t="s">
        <v>375</v>
      </c>
      <c r="H221" s="80" t="s">
        <v>1260</v>
      </c>
    </row>
    <row r="222" spans="1:8" ht="15.5" x14ac:dyDescent="0.35">
      <c r="A222" s="80" t="s">
        <v>670</v>
      </c>
      <c r="B222" s="80" t="s">
        <v>1261</v>
      </c>
      <c r="C222" s="80" t="s">
        <v>1252</v>
      </c>
      <c r="D222" s="80" t="s">
        <v>1262</v>
      </c>
      <c r="E222" s="81" t="s">
        <v>1263</v>
      </c>
      <c r="F222" s="80" t="s">
        <v>1264</v>
      </c>
      <c r="G222" s="80" t="s">
        <v>358</v>
      </c>
      <c r="H222" s="80" t="s">
        <v>1260</v>
      </c>
    </row>
    <row r="223" spans="1:8" ht="15.5" x14ac:dyDescent="0.35">
      <c r="A223" s="80" t="s">
        <v>670</v>
      </c>
      <c r="B223" s="80" t="s">
        <v>1265</v>
      </c>
      <c r="C223" s="80" t="s">
        <v>1252</v>
      </c>
      <c r="D223" s="80" t="s">
        <v>1266</v>
      </c>
      <c r="E223" s="81" t="s">
        <v>1267</v>
      </c>
      <c r="F223" s="80" t="s">
        <v>1268</v>
      </c>
      <c r="G223" s="80" t="s">
        <v>358</v>
      </c>
      <c r="H223" s="80" t="s">
        <v>364</v>
      </c>
    </row>
    <row r="224" spans="1:8" ht="15.5" x14ac:dyDescent="0.35">
      <c r="A224" s="80" t="s">
        <v>748</v>
      </c>
      <c r="B224" s="80" t="s">
        <v>758</v>
      </c>
      <c r="C224" s="80" t="s">
        <v>1252</v>
      </c>
      <c r="D224" s="80" t="s">
        <v>1269</v>
      </c>
      <c r="E224" s="81" t="s">
        <v>759</v>
      </c>
      <c r="F224" s="80" t="s">
        <v>1270</v>
      </c>
      <c r="G224" s="80" t="s">
        <v>358</v>
      </c>
      <c r="H224" s="80" t="s">
        <v>364</v>
      </c>
    </row>
    <row r="225" spans="1:8" ht="15.5" x14ac:dyDescent="0.35">
      <c r="A225" s="80" t="s">
        <v>748</v>
      </c>
      <c r="B225" s="80" t="s">
        <v>1271</v>
      </c>
      <c r="C225" s="80" t="s">
        <v>1252</v>
      </c>
      <c r="D225" s="80" t="s">
        <v>1272</v>
      </c>
      <c r="E225" s="81" t="s">
        <v>1273</v>
      </c>
      <c r="F225" s="80" t="s">
        <v>1274</v>
      </c>
      <c r="G225" s="80" t="s">
        <v>358</v>
      </c>
      <c r="H225" s="80" t="s">
        <v>364</v>
      </c>
    </row>
    <row r="226" spans="1:8" ht="15.5" x14ac:dyDescent="0.35">
      <c r="A226" s="80" t="s">
        <v>748</v>
      </c>
      <c r="B226" s="80" t="s">
        <v>1275</v>
      </c>
      <c r="C226" s="80" t="s">
        <v>1252</v>
      </c>
      <c r="D226" s="80" t="s">
        <v>1276</v>
      </c>
      <c r="E226" s="81" t="s">
        <v>1277</v>
      </c>
      <c r="F226" s="80" t="s">
        <v>1278</v>
      </c>
      <c r="G226" s="80" t="s">
        <v>358</v>
      </c>
      <c r="H226" s="80" t="s">
        <v>1279</v>
      </c>
    </row>
    <row r="227" spans="1:8" ht="15.5" x14ac:dyDescent="0.35">
      <c r="A227" s="80" t="s">
        <v>748</v>
      </c>
      <c r="B227" s="80" t="s">
        <v>1280</v>
      </c>
      <c r="C227" s="80" t="s">
        <v>1252</v>
      </c>
      <c r="D227" s="80" t="s">
        <v>1281</v>
      </c>
      <c r="E227" s="81" t="s">
        <v>1282</v>
      </c>
      <c r="F227" s="80" t="s">
        <v>1283</v>
      </c>
      <c r="G227" s="80" t="s">
        <v>375</v>
      </c>
      <c r="H227" s="80" t="s">
        <v>1279</v>
      </c>
    </row>
    <row r="228" spans="1:8" ht="15.5" x14ac:dyDescent="0.35">
      <c r="A228" s="80" t="s">
        <v>748</v>
      </c>
      <c r="B228" s="80" t="s">
        <v>1284</v>
      </c>
      <c r="C228" s="80" t="s">
        <v>1252</v>
      </c>
      <c r="D228" s="80" t="s">
        <v>496</v>
      </c>
      <c r="E228" s="81" t="s">
        <v>1285</v>
      </c>
      <c r="F228" s="80" t="s">
        <v>1286</v>
      </c>
      <c r="G228" s="80" t="s">
        <v>375</v>
      </c>
      <c r="H228" s="80" t="s">
        <v>1287</v>
      </c>
    </row>
    <row r="229" spans="1:8" ht="15.5" x14ac:dyDescent="0.35">
      <c r="A229" s="80" t="s">
        <v>670</v>
      </c>
      <c r="B229" s="80" t="s">
        <v>1288</v>
      </c>
      <c r="C229" s="80" t="s">
        <v>1252</v>
      </c>
      <c r="D229" s="80" t="s">
        <v>1289</v>
      </c>
      <c r="E229" s="81" t="s">
        <v>1290</v>
      </c>
      <c r="F229" s="80" t="s">
        <v>1291</v>
      </c>
      <c r="G229" s="80" t="s">
        <v>358</v>
      </c>
      <c r="H229" s="80" t="s">
        <v>1287</v>
      </c>
    </row>
    <row r="230" spans="1:8" ht="15.5" x14ac:dyDescent="0.35">
      <c r="A230" s="80" t="s">
        <v>670</v>
      </c>
      <c r="B230" s="80" t="s">
        <v>1292</v>
      </c>
      <c r="C230" s="80" t="s">
        <v>1252</v>
      </c>
      <c r="D230" s="80" t="s">
        <v>1293</v>
      </c>
      <c r="E230" s="81" t="s">
        <v>1294</v>
      </c>
      <c r="F230" s="80" t="s">
        <v>1295</v>
      </c>
      <c r="G230" s="80" t="s">
        <v>358</v>
      </c>
      <c r="H230" s="80" t="s">
        <v>364</v>
      </c>
    </row>
    <row r="231" spans="1:8" ht="15.5" x14ac:dyDescent="0.35">
      <c r="A231" s="80" t="s">
        <v>670</v>
      </c>
      <c r="B231" s="80" t="s">
        <v>1296</v>
      </c>
      <c r="C231" s="80" t="s">
        <v>1297</v>
      </c>
      <c r="D231" s="80" t="s">
        <v>514</v>
      </c>
      <c r="E231" s="81" t="s">
        <v>1298</v>
      </c>
      <c r="F231" s="80" t="s">
        <v>1299</v>
      </c>
      <c r="G231" s="80" t="s">
        <v>358</v>
      </c>
      <c r="H231" s="80" t="s">
        <v>1300</v>
      </c>
    </row>
    <row r="232" spans="1:8" ht="15.5" x14ac:dyDescent="0.35">
      <c r="A232" s="80" t="s">
        <v>748</v>
      </c>
      <c r="B232" s="80" t="s">
        <v>1301</v>
      </c>
      <c r="C232" s="80" t="s">
        <v>1297</v>
      </c>
      <c r="D232" s="80" t="s">
        <v>1302</v>
      </c>
      <c r="E232" s="81" t="s">
        <v>1303</v>
      </c>
      <c r="F232" s="80" t="s">
        <v>1304</v>
      </c>
      <c r="G232" s="80" t="s">
        <v>375</v>
      </c>
      <c r="H232" s="80" t="s">
        <v>1300</v>
      </c>
    </row>
    <row r="233" spans="1:8" ht="15.5" x14ac:dyDescent="0.35">
      <c r="A233" s="80" t="s">
        <v>748</v>
      </c>
      <c r="B233" s="80" t="s">
        <v>1305</v>
      </c>
      <c r="C233" s="80" t="s">
        <v>1297</v>
      </c>
      <c r="D233" s="80" t="s">
        <v>1306</v>
      </c>
      <c r="E233" s="81" t="s">
        <v>1307</v>
      </c>
      <c r="F233" s="80" t="s">
        <v>1308</v>
      </c>
      <c r="G233" s="80" t="s">
        <v>375</v>
      </c>
      <c r="H233" s="80" t="s">
        <v>1309</v>
      </c>
    </row>
    <row r="234" spans="1:8" ht="15.5" x14ac:dyDescent="0.35">
      <c r="A234" s="80" t="s">
        <v>670</v>
      </c>
      <c r="B234" s="80" t="s">
        <v>1310</v>
      </c>
      <c r="C234" s="80" t="s">
        <v>1297</v>
      </c>
      <c r="D234" s="80" t="s">
        <v>1311</v>
      </c>
      <c r="E234" s="81" t="s">
        <v>1312</v>
      </c>
      <c r="F234" s="80" t="s">
        <v>1313</v>
      </c>
      <c r="G234" s="80" t="s">
        <v>358</v>
      </c>
      <c r="H234" s="80" t="s">
        <v>1309</v>
      </c>
    </row>
    <row r="235" spans="1:8" ht="15.5" x14ac:dyDescent="0.35">
      <c r="A235" s="80" t="s">
        <v>670</v>
      </c>
      <c r="B235" s="80" t="s">
        <v>1314</v>
      </c>
      <c r="C235" s="80" t="s">
        <v>1297</v>
      </c>
      <c r="D235" s="80" t="s">
        <v>1315</v>
      </c>
      <c r="E235" s="81" t="s">
        <v>1316</v>
      </c>
      <c r="F235" s="80" t="s">
        <v>1317</v>
      </c>
      <c r="G235" s="80" t="s">
        <v>358</v>
      </c>
      <c r="H235" s="80" t="s">
        <v>364</v>
      </c>
    </row>
    <row r="236" spans="1:8" ht="15.5" x14ac:dyDescent="0.35">
      <c r="A236" s="80" t="s">
        <v>670</v>
      </c>
      <c r="B236" s="80" t="s">
        <v>739</v>
      </c>
      <c r="C236" s="80" t="s">
        <v>1297</v>
      </c>
      <c r="D236" s="80" t="s">
        <v>1318</v>
      </c>
      <c r="E236" s="81" t="s">
        <v>741</v>
      </c>
      <c r="F236" s="80" t="s">
        <v>1319</v>
      </c>
      <c r="G236" s="80" t="s">
        <v>358</v>
      </c>
      <c r="H236" s="80" t="s">
        <v>1320</v>
      </c>
    </row>
    <row r="237" spans="1:8" ht="15.5" x14ac:dyDescent="0.35">
      <c r="A237" s="80" t="s">
        <v>748</v>
      </c>
      <c r="B237" s="80" t="s">
        <v>823</v>
      </c>
      <c r="C237" s="80" t="s">
        <v>1297</v>
      </c>
      <c r="D237" s="80" t="s">
        <v>1321</v>
      </c>
      <c r="E237" s="81" t="s">
        <v>824</v>
      </c>
      <c r="F237" s="80" t="s">
        <v>1322</v>
      </c>
      <c r="G237" s="80" t="s">
        <v>375</v>
      </c>
      <c r="H237" s="80" t="s">
        <v>1320</v>
      </c>
    </row>
    <row r="238" spans="1:8" ht="15.5" x14ac:dyDescent="0.35">
      <c r="A238" s="80" t="s">
        <v>748</v>
      </c>
      <c r="B238" s="80" t="s">
        <v>1323</v>
      </c>
      <c r="C238" s="80" t="s">
        <v>1297</v>
      </c>
      <c r="D238" s="80" t="s">
        <v>1324</v>
      </c>
      <c r="E238" s="81" t="s">
        <v>1325</v>
      </c>
      <c r="F238" s="80" t="s">
        <v>1326</v>
      </c>
      <c r="G238" s="80" t="s">
        <v>375</v>
      </c>
      <c r="H238" s="80" t="s">
        <v>1327</v>
      </c>
    </row>
    <row r="239" spans="1:8" ht="15.5" x14ac:dyDescent="0.35">
      <c r="A239" s="80" t="s">
        <v>670</v>
      </c>
      <c r="B239" s="80" t="s">
        <v>1328</v>
      </c>
      <c r="C239" s="80" t="s">
        <v>1297</v>
      </c>
      <c r="D239" s="80" t="s">
        <v>1329</v>
      </c>
      <c r="E239" s="81" t="s">
        <v>1330</v>
      </c>
      <c r="F239" s="80" t="s">
        <v>1331</v>
      </c>
      <c r="G239" s="80" t="s">
        <v>358</v>
      </c>
      <c r="H239" s="80" t="s">
        <v>1327</v>
      </c>
    </row>
    <row r="240" spans="1:8" ht="15.5" x14ac:dyDescent="0.35">
      <c r="A240" s="80" t="s">
        <v>670</v>
      </c>
      <c r="B240" s="80" t="s">
        <v>1332</v>
      </c>
      <c r="C240" s="80" t="s">
        <v>1297</v>
      </c>
      <c r="D240" s="80" t="s">
        <v>1333</v>
      </c>
      <c r="E240" s="81" t="s">
        <v>1334</v>
      </c>
      <c r="F240" s="80" t="s">
        <v>1335</v>
      </c>
      <c r="G240" s="80" t="s">
        <v>358</v>
      </c>
      <c r="H240" s="80" t="s">
        <v>1336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4.5" x14ac:dyDescent="0.35"/>
  <sheetData>
    <row r="1" spans="1:12" x14ac:dyDescent="0.35">
      <c r="A1" s="82" t="s">
        <v>1337</v>
      </c>
      <c r="B1" s="83" t="s">
        <v>1338</v>
      </c>
      <c r="C1" s="82" t="s">
        <v>1339</v>
      </c>
      <c r="D1" s="84" t="s">
        <v>1337</v>
      </c>
      <c r="E1" s="83" t="s">
        <v>1338</v>
      </c>
      <c r="F1" s="82" t="s">
        <v>1339</v>
      </c>
      <c r="G1" s="85" t="s">
        <v>1337</v>
      </c>
      <c r="H1" s="83" t="s">
        <v>1338</v>
      </c>
      <c r="I1" s="82" t="s">
        <v>1339</v>
      </c>
      <c r="J1" s="83" t="s">
        <v>1337</v>
      </c>
      <c r="K1" s="82" t="s">
        <v>1338</v>
      </c>
      <c r="L1" s="85" t="s">
        <v>1339</v>
      </c>
    </row>
    <row r="2" spans="1:12" x14ac:dyDescent="0.35">
      <c r="A2" s="86" t="s">
        <v>1340</v>
      </c>
      <c r="B2" s="84">
        <v>1</v>
      </c>
      <c r="C2" s="87">
        <v>7</v>
      </c>
      <c r="D2" s="86" t="s">
        <v>1341</v>
      </c>
      <c r="E2" s="84">
        <v>28</v>
      </c>
      <c r="F2" s="87">
        <v>9</v>
      </c>
      <c r="G2" s="88" t="s">
        <v>107</v>
      </c>
      <c r="H2" s="84">
        <v>51</v>
      </c>
      <c r="I2" s="87">
        <v>4</v>
      </c>
      <c r="J2" s="88" t="s">
        <v>273</v>
      </c>
      <c r="K2" s="89">
        <v>73</v>
      </c>
      <c r="L2" s="82">
        <v>1</v>
      </c>
    </row>
    <row r="3" spans="1:12" x14ac:dyDescent="0.35">
      <c r="A3" s="90"/>
      <c r="B3" s="84">
        <v>2</v>
      </c>
      <c r="C3" s="91">
        <v>5</v>
      </c>
      <c r="D3" s="90"/>
      <c r="E3" s="84">
        <v>29</v>
      </c>
      <c r="F3" s="91">
        <v>1</v>
      </c>
      <c r="G3" s="90"/>
      <c r="H3" s="84">
        <v>52</v>
      </c>
      <c r="I3" s="91">
        <v>6</v>
      </c>
      <c r="J3" s="90"/>
      <c r="K3" s="84">
        <v>74</v>
      </c>
      <c r="L3" s="82">
        <v>2</v>
      </c>
    </row>
    <row r="4" spans="1:12" x14ac:dyDescent="0.35">
      <c r="A4" s="90"/>
      <c r="B4" s="84">
        <v>3</v>
      </c>
      <c r="C4" s="91">
        <v>1</v>
      </c>
      <c r="D4" s="90"/>
      <c r="E4" s="84">
        <v>30</v>
      </c>
      <c r="F4" s="91">
        <v>11</v>
      </c>
      <c r="G4" s="90"/>
      <c r="H4" s="84">
        <v>53</v>
      </c>
      <c r="I4" s="91">
        <v>5</v>
      </c>
      <c r="J4" s="90"/>
      <c r="K4" s="84">
        <v>75</v>
      </c>
      <c r="L4" s="82">
        <v>8</v>
      </c>
    </row>
    <row r="5" spans="1:12" x14ac:dyDescent="0.35">
      <c r="A5" s="90"/>
      <c r="B5" s="84">
        <v>4</v>
      </c>
      <c r="C5" s="91">
        <v>3</v>
      </c>
      <c r="D5" s="90"/>
      <c r="E5" s="84">
        <v>31</v>
      </c>
      <c r="F5" s="91">
        <v>5</v>
      </c>
      <c r="G5" s="90"/>
      <c r="H5" s="84">
        <v>54</v>
      </c>
      <c r="I5" s="91">
        <v>1</v>
      </c>
      <c r="J5" s="90"/>
      <c r="K5" s="84">
        <v>76</v>
      </c>
      <c r="L5" s="82">
        <v>4</v>
      </c>
    </row>
    <row r="6" spans="1:12" x14ac:dyDescent="0.35">
      <c r="A6" s="90"/>
      <c r="B6" s="84">
        <v>5</v>
      </c>
      <c r="C6" s="91">
        <v>6</v>
      </c>
      <c r="D6" s="90"/>
      <c r="E6" s="84">
        <v>32</v>
      </c>
      <c r="F6" s="91">
        <v>2</v>
      </c>
      <c r="G6" s="90"/>
      <c r="H6" s="84">
        <v>55</v>
      </c>
      <c r="I6" s="91">
        <v>2</v>
      </c>
      <c r="J6" s="90"/>
      <c r="K6" s="84">
        <v>77</v>
      </c>
      <c r="L6" s="82">
        <v>5</v>
      </c>
    </row>
    <row r="7" spans="1:12" x14ac:dyDescent="0.35">
      <c r="A7" s="90"/>
      <c r="B7" s="84">
        <v>6</v>
      </c>
      <c r="C7" s="91">
        <v>10</v>
      </c>
      <c r="D7" s="90"/>
      <c r="E7" s="84">
        <v>33</v>
      </c>
      <c r="F7" s="91">
        <v>4</v>
      </c>
      <c r="G7" s="92"/>
      <c r="H7" s="84">
        <v>56</v>
      </c>
      <c r="I7" s="91">
        <v>3</v>
      </c>
      <c r="J7" s="90"/>
      <c r="K7" s="84">
        <v>78</v>
      </c>
      <c r="L7" s="82">
        <v>3</v>
      </c>
    </row>
    <row r="8" spans="1:12" x14ac:dyDescent="0.35">
      <c r="A8" s="90"/>
      <c r="B8" s="84">
        <v>7</v>
      </c>
      <c r="C8" s="91">
        <v>2</v>
      </c>
      <c r="D8" s="90"/>
      <c r="E8" s="84">
        <v>34</v>
      </c>
      <c r="F8" s="91">
        <v>3</v>
      </c>
      <c r="G8" s="86" t="s">
        <v>1342</v>
      </c>
      <c r="H8" s="84">
        <v>57</v>
      </c>
      <c r="I8" s="91">
        <v>5</v>
      </c>
      <c r="J8" s="90"/>
      <c r="K8" s="84">
        <v>79</v>
      </c>
      <c r="L8" s="82">
        <v>6</v>
      </c>
    </row>
    <row r="9" spans="1:12" x14ac:dyDescent="0.35">
      <c r="A9" s="90"/>
      <c r="B9" s="84">
        <v>8</v>
      </c>
      <c r="C9" s="91">
        <v>4</v>
      </c>
      <c r="D9" s="90"/>
      <c r="E9" s="84">
        <v>35</v>
      </c>
      <c r="F9" s="91">
        <v>10</v>
      </c>
      <c r="G9" s="90"/>
      <c r="H9" s="84">
        <v>58</v>
      </c>
      <c r="I9" s="91">
        <v>6</v>
      </c>
      <c r="J9" s="92"/>
      <c r="K9" s="84">
        <v>80</v>
      </c>
      <c r="L9" s="82">
        <v>7</v>
      </c>
    </row>
    <row r="10" spans="1:12" x14ac:dyDescent="0.35">
      <c r="A10" s="90"/>
      <c r="B10" s="84">
        <v>9</v>
      </c>
      <c r="C10" s="91">
        <v>8</v>
      </c>
      <c r="D10" s="90"/>
      <c r="E10" s="84">
        <v>36</v>
      </c>
      <c r="F10" s="91">
        <v>8</v>
      </c>
      <c r="G10" s="90"/>
      <c r="H10" s="84">
        <v>59</v>
      </c>
      <c r="I10" s="82">
        <v>1</v>
      </c>
      <c r="J10" s="22"/>
      <c r="K10" s="22"/>
      <c r="L10" s="93"/>
    </row>
    <row r="11" spans="1:12" x14ac:dyDescent="0.35">
      <c r="A11" s="92"/>
      <c r="B11" s="84">
        <v>10</v>
      </c>
      <c r="C11" s="91">
        <v>9</v>
      </c>
      <c r="D11" s="90"/>
      <c r="E11" s="84">
        <v>37</v>
      </c>
      <c r="F11" s="91">
        <v>7</v>
      </c>
      <c r="G11" s="90"/>
      <c r="H11" s="84">
        <v>60</v>
      </c>
      <c r="I11" s="82">
        <v>4</v>
      </c>
      <c r="J11" s="22"/>
      <c r="K11" s="22"/>
      <c r="L11" s="93"/>
    </row>
    <row r="12" spans="1:12" x14ac:dyDescent="0.35">
      <c r="A12" s="86" t="s">
        <v>1343</v>
      </c>
      <c r="B12" s="84">
        <v>11</v>
      </c>
      <c r="C12" s="91">
        <v>4</v>
      </c>
      <c r="D12" s="90"/>
      <c r="E12" s="84">
        <v>38</v>
      </c>
      <c r="F12" s="91">
        <v>6</v>
      </c>
      <c r="G12" s="90"/>
      <c r="H12" s="84">
        <v>61</v>
      </c>
      <c r="I12" s="82">
        <v>3</v>
      </c>
      <c r="J12" s="22"/>
      <c r="K12" s="22"/>
      <c r="L12" s="93"/>
    </row>
    <row r="13" spans="1:12" x14ac:dyDescent="0.35">
      <c r="A13" s="90"/>
      <c r="B13" s="84">
        <v>12</v>
      </c>
      <c r="C13" s="91">
        <v>9</v>
      </c>
      <c r="D13" s="88" t="s">
        <v>1344</v>
      </c>
      <c r="E13" s="84">
        <v>39</v>
      </c>
      <c r="F13" s="91">
        <v>4</v>
      </c>
      <c r="G13" s="92"/>
      <c r="H13" s="84">
        <v>62</v>
      </c>
      <c r="I13" s="82">
        <v>2</v>
      </c>
      <c r="J13" s="22"/>
      <c r="K13" s="22"/>
      <c r="L13" s="93"/>
    </row>
    <row r="14" spans="1:12" x14ac:dyDescent="0.35">
      <c r="A14" s="90"/>
      <c r="B14" s="84">
        <v>13</v>
      </c>
      <c r="C14" s="91">
        <v>3</v>
      </c>
      <c r="D14" s="90"/>
      <c r="E14" s="84">
        <v>40</v>
      </c>
      <c r="F14" s="91">
        <v>8</v>
      </c>
      <c r="G14" s="86" t="s">
        <v>1345</v>
      </c>
      <c r="H14" s="84">
        <v>63</v>
      </c>
      <c r="I14" s="82">
        <v>5</v>
      </c>
      <c r="J14" s="22"/>
      <c r="K14" s="22"/>
      <c r="L14" s="93"/>
    </row>
    <row r="15" spans="1:12" x14ac:dyDescent="0.35">
      <c r="A15" s="90"/>
      <c r="B15" s="84">
        <v>14</v>
      </c>
      <c r="C15" s="91">
        <v>5</v>
      </c>
      <c r="D15" s="90"/>
      <c r="E15" s="84">
        <v>41</v>
      </c>
      <c r="F15" s="91">
        <v>12</v>
      </c>
      <c r="G15" s="90"/>
      <c r="H15" s="84">
        <v>64</v>
      </c>
      <c r="I15" s="82">
        <v>9</v>
      </c>
      <c r="J15" s="22"/>
      <c r="K15" s="22"/>
      <c r="L15" s="93"/>
    </row>
    <row r="16" spans="1:12" x14ac:dyDescent="0.35">
      <c r="A16" s="90"/>
      <c r="B16" s="84">
        <v>15</v>
      </c>
      <c r="C16" s="91">
        <v>1</v>
      </c>
      <c r="D16" s="90"/>
      <c r="E16" s="84">
        <v>42</v>
      </c>
      <c r="F16" s="91">
        <v>10</v>
      </c>
      <c r="G16" s="90"/>
      <c r="H16" s="84">
        <v>65</v>
      </c>
      <c r="I16" s="82">
        <v>4</v>
      </c>
      <c r="J16" s="22"/>
      <c r="K16" s="22"/>
      <c r="L16" s="93"/>
    </row>
    <row r="17" spans="1:12" x14ac:dyDescent="0.35">
      <c r="A17" s="90"/>
      <c r="B17" s="84">
        <v>16</v>
      </c>
      <c r="C17" s="91">
        <v>6</v>
      </c>
      <c r="D17" s="90"/>
      <c r="E17" s="84">
        <v>43</v>
      </c>
      <c r="F17" s="91">
        <v>7</v>
      </c>
      <c r="G17" s="90"/>
      <c r="H17" s="84">
        <v>66</v>
      </c>
      <c r="I17" s="82">
        <v>2</v>
      </c>
      <c r="J17" s="22"/>
      <c r="K17" s="22"/>
      <c r="L17" s="93"/>
    </row>
    <row r="18" spans="1:12" x14ac:dyDescent="0.35">
      <c r="A18" s="90"/>
      <c r="B18" s="84">
        <v>17</v>
      </c>
      <c r="C18" s="91">
        <v>7</v>
      </c>
      <c r="D18" s="90"/>
      <c r="E18" s="84">
        <v>44</v>
      </c>
      <c r="F18" s="91">
        <v>9</v>
      </c>
      <c r="G18" s="90"/>
      <c r="H18" s="84">
        <v>67</v>
      </c>
      <c r="I18" s="82">
        <v>7</v>
      </c>
      <c r="J18" s="22"/>
      <c r="K18" s="22"/>
      <c r="L18" s="93"/>
    </row>
    <row r="19" spans="1:12" x14ac:dyDescent="0.35">
      <c r="A19" s="90"/>
      <c r="B19" s="84">
        <v>18</v>
      </c>
      <c r="C19" s="91">
        <v>8</v>
      </c>
      <c r="D19" s="90"/>
      <c r="E19" s="84">
        <v>45</v>
      </c>
      <c r="F19" s="91">
        <v>6</v>
      </c>
      <c r="G19" s="90"/>
      <c r="H19" s="84">
        <v>68</v>
      </c>
      <c r="I19" s="82">
        <v>1</v>
      </c>
      <c r="J19" s="22"/>
      <c r="K19" s="22"/>
      <c r="L19" s="93"/>
    </row>
    <row r="20" spans="1:12" x14ac:dyDescent="0.35">
      <c r="A20" s="90"/>
      <c r="B20" s="84">
        <v>19</v>
      </c>
      <c r="C20" s="91">
        <v>10</v>
      </c>
      <c r="D20" s="90"/>
      <c r="E20" s="84">
        <v>46</v>
      </c>
      <c r="F20" s="91">
        <v>5</v>
      </c>
      <c r="G20" s="90"/>
      <c r="H20" s="84">
        <v>69</v>
      </c>
      <c r="I20" s="82">
        <v>6</v>
      </c>
      <c r="J20" s="22"/>
      <c r="K20" s="22"/>
      <c r="L20" s="93"/>
    </row>
    <row r="21" spans="1:12" x14ac:dyDescent="0.35">
      <c r="A21" s="92"/>
      <c r="B21" s="84">
        <v>20</v>
      </c>
      <c r="C21" s="91">
        <v>2</v>
      </c>
      <c r="D21" s="90"/>
      <c r="E21" s="84">
        <v>47</v>
      </c>
      <c r="F21" s="91">
        <v>11</v>
      </c>
      <c r="G21" s="90"/>
      <c r="H21" s="85">
        <v>70</v>
      </c>
      <c r="I21" s="82">
        <v>8</v>
      </c>
      <c r="J21" s="22"/>
      <c r="K21" s="22"/>
      <c r="L21" s="93"/>
    </row>
    <row r="22" spans="1:12" x14ac:dyDescent="0.35">
      <c r="A22" s="86" t="s">
        <v>1346</v>
      </c>
      <c r="B22" s="84">
        <v>21</v>
      </c>
      <c r="C22" s="91">
        <v>4</v>
      </c>
      <c r="D22" s="90"/>
      <c r="E22" s="84">
        <v>48</v>
      </c>
      <c r="F22" s="91">
        <v>3</v>
      </c>
      <c r="G22" s="90"/>
      <c r="H22" s="84">
        <v>71</v>
      </c>
      <c r="I22" s="84">
        <v>3</v>
      </c>
      <c r="J22" s="22"/>
      <c r="K22" s="22"/>
      <c r="L22" s="93"/>
    </row>
    <row r="23" spans="1:12" x14ac:dyDescent="0.35">
      <c r="A23" s="90"/>
      <c r="B23" s="84">
        <v>22</v>
      </c>
      <c r="C23" s="91">
        <v>6</v>
      </c>
      <c r="D23" s="90"/>
      <c r="E23" s="84">
        <v>49</v>
      </c>
      <c r="F23" s="91">
        <v>2</v>
      </c>
      <c r="G23" s="92"/>
      <c r="H23" s="89">
        <v>72</v>
      </c>
      <c r="I23" s="82">
        <v>10</v>
      </c>
      <c r="J23" s="22"/>
      <c r="K23" s="22"/>
      <c r="L23" s="93"/>
    </row>
    <row r="24" spans="1:12" x14ac:dyDescent="0.35">
      <c r="A24" s="90"/>
      <c r="B24" s="84">
        <v>23</v>
      </c>
      <c r="C24" s="91">
        <v>2</v>
      </c>
      <c r="D24" s="92"/>
      <c r="E24" s="84">
        <v>50</v>
      </c>
      <c r="F24" s="82">
        <v>1</v>
      </c>
      <c r="G24" s="22"/>
      <c r="H24" s="22"/>
      <c r="I24" s="22"/>
      <c r="J24" s="22"/>
      <c r="K24" s="22"/>
      <c r="L24" s="93"/>
    </row>
    <row r="25" spans="1:12" x14ac:dyDescent="0.35">
      <c r="A25" s="90"/>
      <c r="B25" s="84">
        <v>24</v>
      </c>
      <c r="C25" s="82">
        <v>5</v>
      </c>
      <c r="D25" s="22"/>
      <c r="E25" s="22"/>
      <c r="F25" s="22"/>
      <c r="G25" s="22"/>
      <c r="H25" s="22"/>
      <c r="I25" s="22"/>
      <c r="J25" s="22"/>
      <c r="K25" s="22"/>
      <c r="L25" s="93"/>
    </row>
    <row r="26" spans="1:12" x14ac:dyDescent="0.35">
      <c r="A26" s="90"/>
      <c r="B26" s="84">
        <v>25</v>
      </c>
      <c r="C26" s="82">
        <v>1</v>
      </c>
      <c r="D26" s="22"/>
      <c r="E26" s="22"/>
      <c r="F26" s="22"/>
      <c r="G26" s="22"/>
      <c r="H26" s="22"/>
      <c r="I26" s="22"/>
      <c r="J26" s="22"/>
      <c r="K26" s="22"/>
      <c r="L26" s="93"/>
    </row>
    <row r="27" spans="1:12" x14ac:dyDescent="0.35">
      <c r="A27" s="90"/>
      <c r="B27" s="84">
        <v>26</v>
      </c>
      <c r="C27" s="82">
        <v>7</v>
      </c>
      <c r="D27" s="22"/>
      <c r="E27" s="22"/>
      <c r="F27" s="22"/>
      <c r="G27" s="22"/>
      <c r="H27" s="22"/>
      <c r="I27" s="22"/>
      <c r="J27" s="22"/>
      <c r="K27" s="22"/>
      <c r="L27" s="93"/>
    </row>
    <row r="28" spans="1:12" x14ac:dyDescent="0.35">
      <c r="A28" s="92"/>
      <c r="B28" s="84">
        <v>27</v>
      </c>
      <c r="C28" s="82">
        <v>3</v>
      </c>
      <c r="D28" s="94"/>
      <c r="E28" s="94"/>
      <c r="F28" s="94"/>
      <c r="G28" s="94"/>
      <c r="H28" s="94"/>
      <c r="I28" s="94"/>
      <c r="J28" s="94"/>
      <c r="K28" s="94"/>
      <c r="L28" s="89"/>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1640625" defaultRowHeight="14.5" x14ac:dyDescent="0.35"/>
  <cols>
    <col min="1" max="1" width="6.81640625" bestFit="1" customWidth="1"/>
    <col min="2" max="2" width="10.26953125" bestFit="1" customWidth="1"/>
    <col min="3" max="3" width="21.1796875" bestFit="1" customWidth="1"/>
    <col min="4" max="4" width="9" bestFit="1" customWidth="1"/>
    <col min="5" max="5" width="7.453125" bestFit="1" customWidth="1"/>
    <col min="6" max="6" width="13.453125" bestFit="1" customWidth="1"/>
    <col min="7" max="7" width="10.26953125" bestFit="1" customWidth="1"/>
    <col min="8" max="8" width="2.81640625" bestFit="1" customWidth="1"/>
    <col min="9" max="9" width="4.1796875" bestFit="1" customWidth="1"/>
    <col min="10" max="10" width="3.453125" bestFit="1" customWidth="1"/>
    <col min="11" max="11" width="7.26953125" bestFit="1" customWidth="1"/>
  </cols>
  <sheetData>
    <row r="1" spans="1:11" x14ac:dyDescent="0.35">
      <c r="A1" s="129" t="s">
        <v>1347</v>
      </c>
      <c r="B1" s="129"/>
      <c r="C1" s="129"/>
      <c r="D1" s="5"/>
      <c r="E1" s="5"/>
      <c r="F1" s="5"/>
      <c r="G1" s="5"/>
      <c r="H1" s="5"/>
      <c r="I1" s="5"/>
      <c r="J1" s="5"/>
      <c r="K1" s="5"/>
    </row>
    <row r="2" spans="1:11" x14ac:dyDescent="0.35">
      <c r="A2" s="5" t="s">
        <v>1348</v>
      </c>
      <c r="B2" s="5" t="s">
        <v>1349</v>
      </c>
      <c r="C2" s="5" t="s">
        <v>1350</v>
      </c>
      <c r="D2" s="5" t="s">
        <v>1351</v>
      </c>
      <c r="E2" s="5" t="s">
        <v>1352</v>
      </c>
      <c r="F2" s="5" t="s">
        <v>1353</v>
      </c>
      <c r="G2" s="5" t="s">
        <v>1354</v>
      </c>
      <c r="H2" s="5" t="s">
        <v>1355</v>
      </c>
      <c r="I2" s="5" t="s">
        <v>1356</v>
      </c>
      <c r="J2" s="5" t="s">
        <v>1357</v>
      </c>
      <c r="K2" s="5" t="s">
        <v>1358</v>
      </c>
    </row>
    <row r="3" spans="1:11" x14ac:dyDescent="0.35">
      <c r="A3" s="5" t="s">
        <v>1359</v>
      </c>
      <c r="B3" s="5" t="s">
        <v>1359</v>
      </c>
      <c r="C3" s="5" t="s">
        <v>1359</v>
      </c>
      <c r="D3" s="5" t="s">
        <v>1359</v>
      </c>
      <c r="E3" s="5" t="s">
        <v>1359</v>
      </c>
      <c r="F3" s="5" t="s">
        <v>1359</v>
      </c>
      <c r="G3" s="5" t="s">
        <v>1359</v>
      </c>
      <c r="H3" s="5" t="s">
        <v>1359</v>
      </c>
      <c r="I3" s="5" t="s">
        <v>1359</v>
      </c>
      <c r="J3" s="5" t="s">
        <v>1359</v>
      </c>
      <c r="K3" s="5" t="s">
        <v>1359</v>
      </c>
    </row>
    <row r="4" spans="1:11" x14ac:dyDescent="0.35">
      <c r="A4" s="5" t="s">
        <v>1359</v>
      </c>
      <c r="B4" s="5" t="s">
        <v>1359</v>
      </c>
      <c r="C4" s="5" t="s">
        <v>1359</v>
      </c>
      <c r="D4" s="5" t="s">
        <v>1359</v>
      </c>
      <c r="E4" s="5" t="s">
        <v>1359</v>
      </c>
      <c r="F4" s="5" t="s">
        <v>1359</v>
      </c>
      <c r="G4" s="5" t="s">
        <v>1359</v>
      </c>
      <c r="H4" s="5" t="s">
        <v>1359</v>
      </c>
      <c r="I4" s="5" t="s">
        <v>1359</v>
      </c>
      <c r="J4" s="5" t="s">
        <v>1359</v>
      </c>
      <c r="K4" s="5" t="s">
        <v>1359</v>
      </c>
    </row>
    <row r="5" spans="1:11" x14ac:dyDescent="0.35">
      <c r="A5" s="5" t="s">
        <v>1359</v>
      </c>
      <c r="B5" s="5" t="s">
        <v>1359</v>
      </c>
      <c r="C5" s="5" t="s">
        <v>1359</v>
      </c>
      <c r="D5" s="5" t="s">
        <v>1359</v>
      </c>
      <c r="E5" s="5" t="s">
        <v>1359</v>
      </c>
      <c r="F5" s="5" t="s">
        <v>1359</v>
      </c>
      <c r="G5" s="5" t="s">
        <v>1359</v>
      </c>
      <c r="H5" s="5" t="s">
        <v>1359</v>
      </c>
      <c r="I5" s="5" t="s">
        <v>1359</v>
      </c>
      <c r="J5" s="5" t="s">
        <v>1359</v>
      </c>
      <c r="K5" s="5" t="s">
        <v>1359</v>
      </c>
    </row>
    <row r="6" spans="1:11" x14ac:dyDescent="0.35">
      <c r="A6" s="5" t="s">
        <v>1359</v>
      </c>
      <c r="B6" s="5" t="s">
        <v>1359</v>
      </c>
      <c r="C6" s="5" t="s">
        <v>1359</v>
      </c>
      <c r="D6" s="5" t="s">
        <v>1359</v>
      </c>
      <c r="E6" s="5" t="s">
        <v>1359</v>
      </c>
      <c r="F6" s="5" t="s">
        <v>1359</v>
      </c>
      <c r="G6" s="5" t="s">
        <v>1359</v>
      </c>
      <c r="H6" s="5" t="s">
        <v>1359</v>
      </c>
      <c r="I6" s="5" t="s">
        <v>1359</v>
      </c>
      <c r="J6" s="5" t="s">
        <v>1359</v>
      </c>
      <c r="K6" s="5" t="s">
        <v>1359</v>
      </c>
    </row>
    <row r="7" spans="1:11" x14ac:dyDescent="0.35">
      <c r="A7" s="5" t="s">
        <v>1359</v>
      </c>
      <c r="B7" s="5" t="s">
        <v>1359</v>
      </c>
      <c r="C7" s="5" t="s">
        <v>1359</v>
      </c>
      <c r="D7" s="5" t="s">
        <v>1359</v>
      </c>
      <c r="E7" s="5" t="s">
        <v>1359</v>
      </c>
      <c r="F7" s="5" t="s">
        <v>1359</v>
      </c>
      <c r="G7" s="5" t="s">
        <v>1359</v>
      </c>
      <c r="H7" s="5" t="s">
        <v>1359</v>
      </c>
      <c r="I7" s="5" t="s">
        <v>1359</v>
      </c>
      <c r="J7" s="5" t="s">
        <v>1359</v>
      </c>
      <c r="K7" s="5" t="s">
        <v>1359</v>
      </c>
    </row>
  </sheetData>
  <mergeCells count="1">
    <mergeCell ref="A1:C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1640625" defaultRowHeight="14.5" x14ac:dyDescent="0.35"/>
  <cols>
    <col min="1" max="1" width="36.1796875" bestFit="1" customWidth="1"/>
  </cols>
  <sheetData>
    <row r="1" spans="1:2" ht="15" thickBot="1" x14ac:dyDescent="0.4">
      <c r="A1" s="8" t="s">
        <v>1360</v>
      </c>
      <c r="B1" s="8" t="s">
        <v>1361</v>
      </c>
    </row>
    <row r="2" spans="1:2" x14ac:dyDescent="0.35">
      <c r="A2" s="9" t="s">
        <v>1362</v>
      </c>
      <c r="B2" s="9" t="s">
        <v>1363</v>
      </c>
    </row>
    <row r="3" spans="1:2" x14ac:dyDescent="0.35">
      <c r="A3" s="9" t="s">
        <v>1364</v>
      </c>
      <c r="B3" s="9" t="s">
        <v>1363</v>
      </c>
    </row>
    <row r="4" spans="1:2" x14ac:dyDescent="0.35">
      <c r="A4" s="9" t="s">
        <v>1365</v>
      </c>
      <c r="B4" s="9" t="s">
        <v>1363</v>
      </c>
    </row>
    <row r="5" spans="1:2" x14ac:dyDescent="0.35">
      <c r="A5" s="9" t="s">
        <v>1366</v>
      </c>
      <c r="B5" s="9" t="s">
        <v>1363</v>
      </c>
    </row>
    <row r="6" spans="1:2" x14ac:dyDescent="0.35">
      <c r="A6" s="9" t="s">
        <v>1367</v>
      </c>
      <c r="B6" s="9" t="s">
        <v>1363</v>
      </c>
    </row>
    <row r="7" spans="1:2" x14ac:dyDescent="0.35">
      <c r="A7" s="9" t="s">
        <v>1368</v>
      </c>
      <c r="B7" s="9" t="s">
        <v>1363</v>
      </c>
    </row>
    <row r="8" spans="1:2" x14ac:dyDescent="0.35">
      <c r="A8" s="9" t="s">
        <v>1369</v>
      </c>
      <c r="B8" s="9" t="s">
        <v>1363</v>
      </c>
    </row>
    <row r="9" spans="1:2" x14ac:dyDescent="0.35">
      <c r="A9" s="9" t="s">
        <v>1370</v>
      </c>
      <c r="B9" s="9" t="s">
        <v>1363</v>
      </c>
    </row>
    <row r="10" spans="1:2" x14ac:dyDescent="0.35">
      <c r="A10" s="9" t="s">
        <v>1371</v>
      </c>
      <c r="B10" s="9" t="s">
        <v>1363</v>
      </c>
    </row>
    <row r="11" spans="1:2" x14ac:dyDescent="0.35">
      <c r="A11" s="9" t="s">
        <v>1372</v>
      </c>
      <c r="B11" s="9" t="s">
        <v>1363</v>
      </c>
    </row>
    <row r="12" spans="1:2" x14ac:dyDescent="0.35">
      <c r="A12" s="9" t="s">
        <v>1373</v>
      </c>
      <c r="B12" s="9" t="s">
        <v>1363</v>
      </c>
    </row>
    <row r="13" spans="1:2" x14ac:dyDescent="0.35">
      <c r="A13" s="9" t="s">
        <v>1374</v>
      </c>
      <c r="B13" s="9" t="s">
        <v>1363</v>
      </c>
    </row>
    <row r="14" spans="1:2" x14ac:dyDescent="0.35">
      <c r="A14" s="9" t="s">
        <v>1375</v>
      </c>
      <c r="B14" s="9" t="s">
        <v>1363</v>
      </c>
    </row>
    <row r="15" spans="1:2" x14ac:dyDescent="0.35">
      <c r="A15" s="9" t="s">
        <v>1376</v>
      </c>
      <c r="B15" s="9" t="s">
        <v>1363</v>
      </c>
    </row>
    <row r="16" spans="1:2" x14ac:dyDescent="0.35">
      <c r="A16" s="9" t="s">
        <v>1377</v>
      </c>
      <c r="B16" s="9" t="s">
        <v>1378</v>
      </c>
    </row>
    <row r="17" spans="1:2" x14ac:dyDescent="0.35">
      <c r="A17" s="9" t="s">
        <v>1379</v>
      </c>
      <c r="B17" s="9" t="s">
        <v>1378</v>
      </c>
    </row>
    <row r="18" spans="1:2" x14ac:dyDescent="0.35">
      <c r="A18" s="9" t="s">
        <v>1380</v>
      </c>
      <c r="B18" s="9" t="s">
        <v>1378</v>
      </c>
    </row>
    <row r="19" spans="1:2" x14ac:dyDescent="0.35">
      <c r="A19" s="9" t="s">
        <v>1381</v>
      </c>
      <c r="B19" s="9" t="s">
        <v>1378</v>
      </c>
    </row>
    <row r="20" spans="1:2" ht="15" thickBot="1" x14ac:dyDescent="0.4">
      <c r="A20" s="10" t="s">
        <v>1382</v>
      </c>
      <c r="B20" s="10" t="s">
        <v>1378</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B79A833CF10F444BBAB252802BF889FD" ma:contentTypeVersion="13" ma:contentTypeDescription="Opprett et nytt dokument." ma:contentTypeScope="" ma:versionID="13049228d2ebeeda8a7bd52e722cfa58">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e46e14a2803daf40a531882d51ce3d52"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9CC6E8-490E-4635-9D3F-743AF6F02B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fatstageanchtab</vt:lpstr>
      <vt:lpstr>fatstagesarhtab</vt:lpstr>
      <vt:lpstr>acousticcattab</vt:lpstr>
      <vt:lpstr>transectpostab</vt:lpstr>
      <vt:lpstr>transectranktab</vt:lpstr>
      <vt:lpstr>additionalsamplingtab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Administrator</cp:lastModifiedBy>
  <cp:revision/>
  <dcterms:created xsi:type="dcterms:W3CDTF">2015-06-05T18:17:20Z</dcterms:created>
  <dcterms:modified xsi:type="dcterms:W3CDTF">2022-05-16T08:56:57Z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