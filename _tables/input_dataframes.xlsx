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C4E9AFAC-06E8-47B4-A86C-493979CE5AE1}" xr6:coauthVersionLast="47" xr6:coauthVersionMax="48" xr10:uidLastSave="{00000000-0000-0000-0000-000000000000}"/>
  <bookViews>
    <workbookView xWindow="-28920" yWindow="3165" windowWidth="29040" windowHeight="15990" tabRatio="757" firstSheet="3" activeTab="3" xr2:uid="{00000000-000D-0000-FFFF-FFFF00000000}"/>
  </bookViews>
  <sheets>
    <sheet name="tab_captions" sheetId="14" r:id="rId1"/>
    <sheet name="fig_captions" sheetId="13" r:id="rId2"/>
    <sheet name="surveyplantab" sheetId="1" r:id="rId3"/>
    <sheet name="reqparttab" sheetId="2" r:id="rId4"/>
    <sheet name="plannedparticipantstab" sheetId="3" r:id="rId5"/>
    <sheet name="sciencethemestab" sheetId="15" r:id="rId6"/>
    <sheet name="equipmenttab" sheetId="4" r:id="rId7"/>
    <sheet name="datahandovertab" sheetId="5" r:id="rId8"/>
    <sheet name="collectedsamplesnamtab" sheetId="6" r:id="rId9"/>
    <sheet name="collectedsamplesangtab" sheetId="20" r:id="rId10"/>
    <sheet name="matstagetab" sheetId="10" r:id="rId11"/>
    <sheet name="biosamplingtab" sheetId="11" r:id="rId12"/>
    <sheet name="additionalsamplingtab" sheetId="17" r:id="rId13"/>
    <sheet name="taxonomytab" sheetId="16" r:id="rId14"/>
    <sheet name="acousticcategorytab" sheetId="18" r:id="rId15"/>
    <sheet name="gearcodestab" sheetId="19" r:id="rId16"/>
    <sheet name="mesopelagictransecttab" sheetId="21" r:id="rId17"/>
    <sheet name="mesopelagicsurveystab" sheetId="22" r:id="rId18"/>
    <sheet name="mesodieltab" sheetId="23" r:id="rId19"/>
    <sheet name="mesosamplingtab" sheetId="2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22" i="2" l="1"/>
  <c r="M22" i="2"/>
  <c r="J23" i="2"/>
  <c r="I23" i="2"/>
  <c r="H23" i="2"/>
  <c r="G23" i="2"/>
  <c r="F23" i="2"/>
  <c r="E23" i="2"/>
  <c r="D23" i="2"/>
  <c r="C23" i="2"/>
  <c r="L21" i="2"/>
  <c r="K21" i="2"/>
  <c r="L20" i="2"/>
  <c r="K20" i="2"/>
  <c r="L19" i="2"/>
  <c r="K19" i="2"/>
  <c r="K18" i="2"/>
  <c r="L18" i="2" s="1"/>
  <c r="K17" i="2"/>
  <c r="L17" i="2" s="1"/>
  <c r="L16" i="2"/>
  <c r="K16" i="2"/>
  <c r="K15" i="2"/>
  <c r="L15" i="2" s="1"/>
  <c r="K14" i="2"/>
  <c r="L14" i="2" s="1"/>
  <c r="L13" i="2"/>
  <c r="L23" i="2" s="1"/>
  <c r="K13" i="2"/>
  <c r="K23" i="2" s="1"/>
  <c r="K7" i="2"/>
  <c r="K4" i="2"/>
  <c r="C11" i="2"/>
  <c r="K10" i="2"/>
  <c r="L10" i="2" s="1"/>
  <c r="L9" i="2"/>
  <c r="K9" i="2"/>
  <c r="L8" i="2"/>
  <c r="K8" i="2"/>
  <c r="L7" i="2"/>
  <c r="K6" i="2"/>
  <c r="L6" i="2" s="1"/>
  <c r="L5" i="2"/>
  <c r="K5" i="2"/>
  <c r="L3" i="2"/>
  <c r="K3" i="2"/>
  <c r="L2" i="2"/>
  <c r="K2" i="2"/>
  <c r="F10" i="2"/>
  <c r="F9" i="2"/>
  <c r="F8" i="2"/>
  <c r="F7" i="2"/>
  <c r="F6" i="2"/>
  <c r="F5" i="2"/>
  <c r="F4" i="2"/>
  <c r="F3" i="2"/>
  <c r="F2" i="2"/>
  <c r="K11" i="2"/>
  <c r="J11" i="2"/>
  <c r="I11" i="2"/>
  <c r="H11" i="2"/>
  <c r="G11" i="2"/>
  <c r="F11" i="2"/>
  <c r="E11" i="2"/>
  <c r="D11" i="2"/>
  <c r="L4" i="2" l="1"/>
  <c r="L11" i="2" s="1"/>
  <c r="M10" i="2"/>
  <c r="M19" i="2"/>
  <c r="M18" i="2"/>
  <c r="M17" i="2"/>
  <c r="M16" i="2"/>
  <c r="M15" i="2"/>
  <c r="M14" i="2"/>
</calcChain>
</file>

<file path=xl/sharedStrings.xml><?xml version="1.0" encoding="utf-8"?>
<sst xmlns="http://schemas.openxmlformats.org/spreadsheetml/2006/main" count="1302" uniqueCount="635">
  <si>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</si>
  <si>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</si>
  <si>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</si>
  <si>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</si>
  <si>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</si>
  <si>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</si>
  <si>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</si>
  <si>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</si>
  <si>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</si>
  <si>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</si>
  <si>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</si>
  <si>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to collect and overview of procedures for data hand-over to partners (all collected data will be stored at the IMR server). </t>
  </si>
  <si>
    <t>Samples to be collected, preservation and follow-up work from Namibia</t>
  </si>
  <si>
    <t>Samples to be collected, preservation and follow-up work from Angola</t>
  </si>
  <si>
    <t>matstagetab</t>
  </si>
  <si>
    <t>Biological scales used for maturity stage.</t>
  </si>
  <si>
    <t>biosamplingtab</t>
  </si>
  <si>
    <t>Biological sampling envisioned for priority species as well as other species in the catch.</t>
  </si>
  <si>
    <t>plannedparticipantstab</t>
  </si>
  <si>
    <t>addsamplingtab</t>
  </si>
  <si>
    <t>Data entry spreadsheet example.</t>
  </si>
  <si>
    <t>taxonomytab</t>
  </si>
  <si>
    <t>List of species to be collected and frozen for future taxonomy courses.</t>
  </si>
  <si>
    <t>acousticcategorytab</t>
  </si>
  <si>
    <t>Allocation of acoustic densities to species groups.</t>
  </si>
  <si>
    <t>gearcodestab</t>
  </si>
  <si>
    <t>Gear codes to be used during leg 4.2 and 4.3 in the survey logger (toktlogger).</t>
  </si>
  <si>
    <t>fig.name</t>
  </si>
  <si>
    <t>surveyareamap</t>
  </si>
  <si>
    <t>scienceplan</t>
  </si>
  <si>
    <t>Main pillars and research themes of the EAF-Nansen Programme.</t>
  </si>
  <si>
    <t>envtransects</t>
  </si>
  <si>
    <t>Sampling along environmental transects</t>
  </si>
  <si>
    <t>epibenthos</t>
  </si>
  <si>
    <t>Example of photograph with epibenthos to be taken at each demersal trawl station.</t>
  </si>
  <si>
    <t>catchsamplingworkflow</t>
  </si>
  <si>
    <t>Overview of sampling procedures in the fish laboratory.</t>
  </si>
  <si>
    <t>bonyfish</t>
  </si>
  <si>
    <t>Photo example with waterproof tag and ruler</t>
  </si>
  <si>
    <t>cartilag</t>
  </si>
  <si>
    <t>Cryobox for vials with genetic samples</t>
  </si>
  <si>
    <t>taggingbonyfish</t>
  </si>
  <si>
    <t>Genetic sampling of bony fishes</t>
  </si>
  <si>
    <t>taggingbonyfishsmall</t>
  </si>
  <si>
    <t>Tagging &amp; genetic sampling of cartilaginous fishes</t>
  </si>
  <si>
    <t>barrels</t>
  </si>
  <si>
    <t>Tagging gun and fasteners</t>
  </si>
  <si>
    <t>boxes</t>
  </si>
  <si>
    <t>Tagging of_medium-size bony fishes</t>
  </si>
  <si>
    <t>examplephoto</t>
  </si>
  <si>
    <t>Tagging of small-size bony fishes and invertebrates</t>
  </si>
  <si>
    <t>cryobox</t>
  </si>
  <si>
    <t>Formalin barrels in the storage room</t>
  </si>
  <si>
    <t>taggunfasteners</t>
  </si>
  <si>
    <t>Survey Name</t>
  </si>
  <si>
    <t>Duration in days</t>
  </si>
  <si>
    <t>Departure</t>
  </si>
  <si>
    <t>Arrival</t>
  </si>
  <si>
    <t>Port of Departure</t>
  </si>
  <si>
    <t>Port of Arrival</t>
  </si>
  <si>
    <t>Leg 4.2 Small pelagic fish in northern Namibia and southern Angola</t>
  </si>
  <si>
    <t>19/07/2022</t>
  </si>
  <si>
    <t>16/08/2022</t>
  </si>
  <si>
    <t>Walvis Bay</t>
  </si>
  <si>
    <t>Leg 4.3 Small pelagic fish in Angola incl. mesopelagic fish transect in Angola</t>
  </si>
  <si>
    <t>20/08/2022</t>
  </si>
  <si>
    <t>19/09/2022</t>
  </si>
  <si>
    <t>Leg</t>
  </si>
  <si>
    <t>Position (laboratory)</t>
  </si>
  <si>
    <t>Min personnel</t>
  </si>
  <si>
    <t>DFN core team</t>
  </si>
  <si>
    <t>DFN core team (IMR)</t>
  </si>
  <si>
    <t>DFN core team (non-IMR)</t>
  </si>
  <si>
    <t>Namibia</t>
  </si>
  <si>
    <t>Angola</t>
  </si>
  <si>
    <t>South Africa</t>
  </si>
  <si>
    <t>FAO (External experts)</t>
  </si>
  <si>
    <t>Total non-IMR personnel</t>
  </si>
  <si>
    <t>Missing personnel</t>
  </si>
  <si>
    <t>Grand total</t>
  </si>
  <si>
    <t>Leg4.2</t>
  </si>
  <si>
    <t>Cruise leader</t>
  </si>
  <si>
    <t>Co-cruise leader</t>
  </si>
  <si>
    <t>Water chemistry</t>
  </si>
  <si>
    <t>Physical oceanography</t>
  </si>
  <si>
    <t>Plankton biology</t>
  </si>
  <si>
    <t>Fisheries biology / taxonomy</t>
  </si>
  <si>
    <t>Whale / Seabird observatory</t>
  </si>
  <si>
    <t>Instrument personnel</t>
  </si>
  <si>
    <t>Total leg 4.2</t>
  </si>
  <si>
    <t>Leg4.3</t>
  </si>
  <si>
    <t>Total leg 4.3</t>
  </si>
  <si>
    <t>LEG</t>
  </si>
  <si>
    <t>PARTICIPANT</t>
  </si>
  <si>
    <t>ROLE</t>
  </si>
  <si>
    <t>E-MAIL</t>
  </si>
  <si>
    <t>SEX</t>
  </si>
  <si>
    <t>AFFILIATION</t>
  </si>
  <si>
    <t>CITIZENSHIP</t>
  </si>
  <si>
    <t>Maik Tiedeman</t>
  </si>
  <si>
    <t>Maik.Tiedemann@hi.no</t>
  </si>
  <si>
    <t>M</t>
  </si>
  <si>
    <t>IMR</t>
  </si>
  <si>
    <t>GERMANY</t>
  </si>
  <si>
    <t>Sarah Ann Bruck</t>
  </si>
  <si>
    <t>Fish Team Leader</t>
  </si>
  <si>
    <t>Sarah.Bruck@hi.no</t>
  </si>
  <si>
    <t>F</t>
  </si>
  <si>
    <t>NORWAY</t>
  </si>
  <si>
    <t>Vidar Fauskanger</t>
  </si>
  <si>
    <t>Sara Zamora Terol</t>
  </si>
  <si>
    <t>Plankton Team Leader</t>
  </si>
  <si>
    <t>sara.zamora.terol@hi.no</t>
  </si>
  <si>
    <t>SPAIN</t>
  </si>
  <si>
    <t>Saskia Kitings?</t>
  </si>
  <si>
    <t>Chemical Oceanography team leader</t>
  </si>
  <si>
    <t>Vidar Lien</t>
  </si>
  <si>
    <t>Physical Oceanography team leader</t>
  </si>
  <si>
    <t>Vidar.Lien@hi.no</t>
  </si>
  <si>
    <t>Benjamin Marum</t>
  </si>
  <si>
    <t>Chief Instruments Engineer</t>
  </si>
  <si>
    <t>benjamim.marum@hi.no</t>
  </si>
  <si>
    <t>Leif Johan Ohnstad</t>
  </si>
  <si>
    <t>Instruments Engineer</t>
  </si>
  <si>
    <t>Larkin Sinvula</t>
  </si>
  <si>
    <t>Co-Cruise leader</t>
  </si>
  <si>
    <t>larkin.sinvula@mfmr.gov.na</t>
  </si>
  <si>
    <t>MFMR</t>
  </si>
  <si>
    <t>NAMIBIA</t>
  </si>
  <si>
    <t>Maria Malakia</t>
  </si>
  <si>
    <t>Fish team</t>
  </si>
  <si>
    <t>Maria Shikesho</t>
  </si>
  <si>
    <t>Joachim Tjimune</t>
  </si>
  <si>
    <t>Elsa Correia</t>
  </si>
  <si>
    <t>INIPM</t>
  </si>
  <si>
    <t>Adélia Rodrigues</t>
  </si>
  <si>
    <t>Fátima Delicado</t>
  </si>
  <si>
    <t>Sicilia Shikongo</t>
  </si>
  <si>
    <t>Chemical Oceanography team</t>
  </si>
  <si>
    <t>Gabriel Kornelius</t>
  </si>
  <si>
    <t>Irene Moçambique</t>
  </si>
  <si>
    <t>Annette Amakali</t>
  </si>
  <si>
    <t>Plankton team</t>
  </si>
  <si>
    <t>Tusnelde Ngutjinazo</t>
  </si>
  <si>
    <t>Sónia Cristina</t>
  </si>
  <si>
    <t>Tito Milagre</t>
  </si>
  <si>
    <t>Physical Oceanography team</t>
  </si>
  <si>
    <t>Other</t>
  </si>
  <si>
    <t>Kathrine Michalsen</t>
  </si>
  <si>
    <t>kathrine@hi.no</t>
  </si>
  <si>
    <t>Norway</t>
  </si>
  <si>
    <t>Diana Zarea-Perez</t>
  </si>
  <si>
    <t>Spain</t>
  </si>
  <si>
    <t>Rupert Wienerroither</t>
  </si>
  <si>
    <t>Austria</t>
  </si>
  <si>
    <t>Stamatina Isari</t>
  </si>
  <si>
    <t>Greece</t>
  </si>
  <si>
    <t>David Cervantes</t>
  </si>
  <si>
    <t>Chemical Oceanography Team Leader</t>
  </si>
  <si>
    <t>USA</t>
  </si>
  <si>
    <t>Jenny Ullgren</t>
  </si>
  <si>
    <t>Physical Oceanography Team Leader</t>
  </si>
  <si>
    <t>Olaf Sørås</t>
  </si>
  <si>
    <t>Jori Neteland-Kyte</t>
  </si>
  <si>
    <t xml:space="preserve">Instruments Engineer </t>
  </si>
  <si>
    <t>Filomena Vaz Velho</t>
  </si>
  <si>
    <t>INIP</t>
  </si>
  <si>
    <t>Geraldina José</t>
  </si>
  <si>
    <t>Henriette Lutuba</t>
  </si>
  <si>
    <t>Aristóteles Amaro</t>
  </si>
  <si>
    <t>Enoque Canganjo</t>
  </si>
  <si>
    <t>Sténia Costa</t>
  </si>
  <si>
    <t>Marcelina André</t>
  </si>
  <si>
    <t>Student</t>
  </si>
  <si>
    <t>Marisa Macuéria</t>
  </si>
  <si>
    <t>Mesopelagic taxonomist</t>
  </si>
  <si>
    <t>Bjørn-Erik Axelsen</t>
  </si>
  <si>
    <t>Mesopelagic/acoustics</t>
  </si>
  <si>
    <t>Rokas Kubilius</t>
  </si>
  <si>
    <t>Training as CL/ acoustics</t>
  </si>
  <si>
    <t>Lithuania</t>
  </si>
  <si>
    <t xml:space="preserve">Theme </t>
  </si>
  <si>
    <t>Project</t>
  </si>
  <si>
    <t>Focal point</t>
  </si>
  <si>
    <t>Theme 1</t>
  </si>
  <si>
    <t>Identification guide to ichthyoplankton in Northwest Africa</t>
  </si>
  <si>
    <t>Occurrence of eggs and larvae in relation to different types of upwelling</t>
  </si>
  <si>
    <t>Theme 2</t>
  </si>
  <si>
    <t>Theme 3</t>
  </si>
  <si>
    <t>Theme 8</t>
  </si>
  <si>
    <t xml:space="preserve">Future studies of nutrient profiles, contaminants and microplastics of sardinella and anchovy </t>
  </si>
  <si>
    <t>Theme 9</t>
  </si>
  <si>
    <t>Oceanography, climate forcing and impacts on structure, diversity and productivity of marine ecosystems</t>
  </si>
  <si>
    <t xml:space="preserve">Theme 10 </t>
  </si>
  <si>
    <t>Ocean acidification state and drivers in upwelling systems</t>
  </si>
  <si>
    <t>Component sampled</t>
  </si>
  <si>
    <t>Equipment</t>
  </si>
  <si>
    <t>Physical-air</t>
  </si>
  <si>
    <t>Weather station (wind speed, direction, temperature, light sensor)</t>
  </si>
  <si>
    <t>Physical-water</t>
  </si>
  <si>
    <t>CTDO, Fluorescence sensor, PAR sensor, 75 and 150kHz ADCP, thermosalinograph (T,S,Fl), turbidity sensor</t>
  </si>
  <si>
    <t>Chemical-water</t>
  </si>
  <si>
    <t>Water samples and chemical analysis, pH, AT, nutrient analyzer, fluorometer instrument, salinity, oxygen</t>
  </si>
  <si>
    <t>Phytoplankton</t>
  </si>
  <si>
    <t>Water samples (quantitative), Chlorophyll analysis from fluorometer instrument (from sensors on CTD  and thermosalinigraph)</t>
  </si>
  <si>
    <t>Zooplankton</t>
  </si>
  <si>
    <t>Ichthyoplankton and jellyfish</t>
  </si>
  <si>
    <t>Multinet midi (180 µm),  Bongo net (405 µm), CUFES (continuous underwater fish egg sampler)</t>
  </si>
  <si>
    <t>Fish (incl. mesopelagic fish)</t>
  </si>
  <si>
    <t>Pelagic (Åkra trawl, MultPelt trawl with DeepVision) and Demersal trawls (Gisund Super), Echo sounders (EK 80), Omni-directional Fisheries sonar (SU 90 and SH 90), WBat, Macroplankton trawl</t>
  </si>
  <si>
    <t xml:space="preserve">Benthos </t>
  </si>
  <si>
    <t xml:space="preserve">Demersal trawl (Gisund) </t>
  </si>
  <si>
    <t>Plastic</t>
  </si>
  <si>
    <t>Manta trawl (180 mµ), demersal and pelagic trawl</t>
  </si>
  <si>
    <t>Bathymetry</t>
  </si>
  <si>
    <t>Olex (with input from EK 80)</t>
  </si>
  <si>
    <t>Data type</t>
  </si>
  <si>
    <t>Data sources</t>
  </si>
  <si>
    <t>after the survey</t>
  </si>
  <si>
    <t>at the post survey meeting</t>
  </si>
  <si>
    <t>upon request</t>
  </si>
  <si>
    <t>not collected (equipment is turned off)</t>
  </si>
  <si>
    <t>analyzed by partner country</t>
  </si>
  <si>
    <t>analyzed through the EAF-Nansen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</si>
  <si>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</si>
  <si>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</si>
  <si>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</si>
  <si>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</si>
  <si>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</si>
  <si>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</si>
  <si>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</si>
  <si>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</si>
  <si>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</si>
  <si>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</si>
  <si>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</si>
  <si>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</si>
  <si>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</si>
  <si>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</si>
  <si>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</si>
  <si>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</si>
  <si>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</si>
  <si>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</si>
  <si>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</si>
  <si>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</si>
  <si>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</si>
  <si>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PCO2</t>
  </si>
  <si>
    <t>Chlorophyll</t>
  </si>
  <si>
    <t>Biology</t>
  </si>
  <si>
    <t>Trawl catch data</t>
  </si>
  <si>
    <t>Zooplankton biomass</t>
  </si>
  <si>
    <t>Pollution</t>
  </si>
  <si>
    <t>Microplastics</t>
  </si>
  <si>
    <t>Observation platforms</t>
  </si>
  <si>
    <t>VAMS</t>
  </si>
  <si>
    <t>WBAT</t>
  </si>
  <si>
    <t>Deep vision</t>
  </si>
  <si>
    <t xml:space="preserve">Activity diary (cruise logger) </t>
  </si>
  <si>
    <t>Nansis survey backup</t>
  </si>
  <si>
    <t>Gear - equipment</t>
  </si>
  <si>
    <t>Analysis</t>
  </si>
  <si>
    <t>Samples</t>
  </si>
  <si>
    <t>Preservation</t>
  </si>
  <si>
    <t>Estimated amount of preservative needed</t>
  </si>
  <si>
    <t>Port of offloading</t>
  </si>
  <si>
    <t>Type of transportation</t>
  </si>
  <si>
    <t>Institution address</t>
  </si>
  <si>
    <t>Contact details - name, email, phone</t>
  </si>
  <si>
    <t>Deadline for analysis</t>
  </si>
  <si>
    <t>Data and sampling types for future usage and reference</t>
  </si>
  <si>
    <t>Rosette water bottles</t>
  </si>
  <si>
    <t>Nutrients. Will be analysed on board after the survey</t>
  </si>
  <si>
    <t>Water samples</t>
  </si>
  <si>
    <t>Frozen</t>
  </si>
  <si>
    <t>N/A</t>
  </si>
  <si>
    <t>IMR - Nansen</t>
  </si>
  <si>
    <t>"David Cervantes" &lt;david.cervantes@hi.no&gt;</t>
  </si>
  <si>
    <t>December 2022</t>
  </si>
  <si>
    <t>WP2 (180 µm) from max 200 m 1/2 Split</t>
  </si>
  <si>
    <t>Zooplankton biomass estimation</t>
  </si>
  <si>
    <t>Aluminium trays</t>
  </si>
  <si>
    <t>Dried and then frozen</t>
  </si>
  <si>
    <t>Sea freight</t>
  </si>
  <si>
    <t>IMR, Bergen</t>
  </si>
  <si>
    <t>Zooplankton community identification</t>
  </si>
  <si>
    <t>Bottles with ½ of bulk WP2 sample</t>
  </si>
  <si>
    <t>4% formaldehyde (buffered?)</t>
  </si>
  <si>
    <t>600 mL</t>
  </si>
  <si>
    <t xml:space="preserve"> </t>
  </si>
  <si>
    <t>Bongo H (405 µm)</t>
  </si>
  <si>
    <t xml:space="preserve">Ichthyoplankton community identification, genetics </t>
  </si>
  <si>
    <t>Bottles with bulk sample</t>
  </si>
  <si>
    <t>96% ethanol (unmethylated)</t>
  </si>
  <si>
    <t>15-20 liters</t>
  </si>
  <si>
    <t>Bongo V (405 µm)</t>
  </si>
  <si>
    <t>Ichthyoplankton community identification</t>
  </si>
  <si>
    <t>4% formaldehyde</t>
  </si>
  <si>
    <t>3 liters</t>
  </si>
  <si>
    <t>Bongo V(405 µm)</t>
  </si>
  <si>
    <t>Species identification</t>
  </si>
  <si>
    <t>Scintillation vials with sorted larval fish from the bulk bongo sample</t>
  </si>
  <si>
    <t>Gear/equipment</t>
  </si>
  <si>
    <t>Contact person (e-mail, phone no)</t>
  </si>
  <si>
    <t>Manta trawl (335 µm): surface tow for 15 mins</t>
  </si>
  <si>
    <t>Neuston community identification</t>
  </si>
  <si>
    <t>96% ethanol (methylated)</t>
  </si>
  <si>
    <t>?</t>
  </si>
  <si>
    <t>Species identification, Genetics</t>
  </si>
  <si>
    <t>Scintillation vials with sorted larval fish and eggs from the bulk manta sample</t>
  </si>
  <si>
    <t>Abundance and chemical composition of microplastics</t>
  </si>
  <si>
    <t>Eppendorf tubes with the microplastics sorted from the bulk manta sample</t>
  </si>
  <si>
    <t>Photographed, stored in Eppendorf tubes at room temperature</t>
  </si>
  <si>
    <t>Bjørn Einar Grøsvik</t>
  </si>
  <si>
    <t>Trawl samples</t>
  </si>
  <si>
    <t>Taxonomic identification – Unidentified species</t>
  </si>
  <si>
    <t>Whole fish</t>
  </si>
  <si>
    <t xml:space="preserve">Frozen (&gt;20 cm length) or 10% Formalin </t>
  </si>
  <si>
    <t>Road</t>
  </si>
  <si>
    <t>Onboard, offloaded in Las Palmas</t>
  </si>
  <si>
    <t>Peter Psomadakis, Peter.Psomadakis@fao.org</t>
  </si>
  <si>
    <t>Genetics (stock identity)</t>
  </si>
  <si>
    <t>Finclips of selected species (list of species)</t>
  </si>
  <si>
    <t>96% Ethanol (unmethylated)</t>
  </si>
  <si>
    <t>Nutrition and Food Safety</t>
  </si>
  <si>
    <t>Mariann Kjellevold</t>
  </si>
  <si>
    <t>Contact details (name, email, phone no)</t>
  </si>
  <si>
    <t>Bongo H (405 µm)  Leg 2.1</t>
  </si>
  <si>
    <t>Bongo V (405 µm)  Leg 2.1</t>
  </si>
  <si>
    <t>Bongo V(405 µm)  Leg 2.1</t>
  </si>
  <si>
    <t>Bongo H (405 µm)  Leg 2.2</t>
  </si>
  <si>
    <t>Bongo V (405 µm)  Leg 2.2</t>
  </si>
  <si>
    <t>Bongo V(405 µm)  Leg 2.2</t>
  </si>
  <si>
    <t>Contact person Leg 3.2 (e-mail, phone no)</t>
  </si>
  <si>
    <t>Stage</t>
  </si>
  <si>
    <t>State</t>
  </si>
  <si>
    <t>Description</t>
  </si>
  <si>
    <t>I</t>
  </si>
  <si>
    <t>Immature</t>
  </si>
  <si>
    <t>Ovary and testis about 1/3rd length of body cavity. Ovaries pinkish, translucent, testis whitish. Ova not visible to naked eye.</t>
  </si>
  <si>
    <t>II</t>
  </si>
  <si>
    <t>Maturing virgin and recovering spent</t>
  </si>
  <si>
    <t>Ovary and testis about ½ length of body cavity. Ovary pinkish, translucent, testis whitish, symmetrical. Ova not visible to naked eye.</t>
  </si>
  <si>
    <t>III</t>
  </si>
  <si>
    <t>Ripening</t>
  </si>
  <si>
    <t>Ovary and testis is about 2/3rds length of body cavity. Ovary pinkish yellow colour with granular appearance, testis whitish to creamy. No transparent or translucent ova visible.</t>
  </si>
  <si>
    <t>IV</t>
  </si>
  <si>
    <t>Ripe</t>
  </si>
  <si>
    <t>Ovary and testis from 2/3rds to full length of body cavity. Ovary orange-pink in colour with conspicuous superficial blood vessels. Large transparent, ripe ova visible. Testis whitish-creamy, soft.</t>
  </si>
  <si>
    <t>V</t>
  </si>
  <si>
    <t>Spent</t>
  </si>
  <si>
    <t>Ovary and testis shrunken to about ½ length of body cavity. Walls loose. Ovary may contain remnants of disintegrating opaque and ripe Ova, darkened or translucent. Testis bloodshot and flabby</t>
  </si>
  <si>
    <t>Species</t>
  </si>
  <si>
    <t>Catch (Weight and Numbers)</t>
  </si>
  <si>
    <t>Length frequency</t>
  </si>
  <si>
    <t>Sex/Maturity</t>
  </si>
  <si>
    <t>*Sardinella aurita*</t>
  </si>
  <si>
    <t>YES</t>
  </si>
  <si>
    <t>*Sardinella maderensis*</t>
  </si>
  <si>
    <t>*Trachurus trecae*</t>
  </si>
  <si>
    <t>*Scomber colias*</t>
  </si>
  <si>
    <t>*Sardinops sagax*</t>
  </si>
  <si>
    <t>*Trachurus capensis*</t>
  </si>
  <si>
    <t xml:space="preserve">*Engraulis encrasicolus* </t>
  </si>
  <si>
    <t>*Etrumeus whiteheadi*</t>
  </si>
  <si>
    <t>SEX ONLY</t>
  </si>
  <si>
    <t>All remaining species caught</t>
  </si>
  <si>
    <t>SAMPLE FOR GENETICS</t>
  </si>
  <si>
    <t>STA N°</t>
  </si>
  <si>
    <t>SAMPLE N°</t>
  </si>
  <si>
    <t>BOX N°</t>
  </si>
  <si>
    <t>N°INSIDE</t>
  </si>
  <si>
    <t>FAMILY</t>
  </si>
  <si>
    <t>SPECIES/TAXA</t>
  </si>
  <si>
    <t>TL (mm)</t>
  </si>
  <si>
    <t>SL (mm)</t>
  </si>
  <si>
    <t>DW</t>
  </si>
  <si>
    <t>ML</t>
  </si>
  <si>
    <t>PHOTO</t>
  </si>
  <si>
    <t>.</t>
  </si>
  <si>
    <t xml:space="preserve">Family </t>
  </si>
  <si>
    <t>Class</t>
  </si>
  <si>
    <t>Acoustic category</t>
  </si>
  <si>
    <t>Group</t>
  </si>
  <si>
    <t>Taxon</t>
  </si>
  <si>
    <t>SARD </t>
  </si>
  <si>
    <t>Sardinella </t>
  </si>
  <si>
    <r>
      <t>*Sardinella*</t>
    </r>
    <r>
      <rPr>
        <sz val="10"/>
        <color rgb="FF000000"/>
        <rFont val="Calibri"/>
        <scheme val="minor"/>
      </rPr>
      <t xml:space="preserve"> spp. </t>
    </r>
  </si>
  <si>
    <t>*Sardinella maderensis*</t>
  </si>
  <si>
    <t>*Sardinella aurita*</t>
  </si>
  <si>
    <t>HMACK </t>
  </si>
  <si>
    <t>Horse mackerel </t>
  </si>
  <si>
    <r>
      <t>*Trachurus*</t>
    </r>
    <r>
      <rPr>
        <sz val="10"/>
        <color rgb="FF000000"/>
        <rFont val="Calibri"/>
        <scheme val="minor"/>
      </rPr>
      <t> spp.  </t>
    </r>
  </si>
  <si>
    <t>*Trachurus trecae*</t>
  </si>
  <si>
    <t>*Trachurus capensis*</t>
  </si>
  <si>
    <t>MACKE </t>
  </si>
  <si>
    <t>Mackerel </t>
  </si>
  <si>
    <r>
      <t>*Scomber*</t>
    </r>
    <r>
      <rPr>
        <sz val="10"/>
        <color rgb="FF000000"/>
        <rFont val="Calibri"/>
        <scheme val="minor"/>
      </rPr>
      <t> sp. </t>
    </r>
  </si>
  <si>
    <t>*Scomber colias*</t>
  </si>
  <si>
    <t>PILCH</t>
  </si>
  <si>
    <t>sardine (Pilchard)</t>
  </si>
  <si>
    <r>
      <t xml:space="preserve">*Sardinops* </t>
    </r>
    <r>
      <rPr>
        <sz val="10"/>
        <color rgb="FF000000"/>
        <rFont val="Calibri"/>
        <family val="2"/>
        <scheme val="minor"/>
      </rPr>
      <t>sp.</t>
    </r>
  </si>
  <si>
    <t>ANCHO</t>
  </si>
  <si>
    <t>Anchovy</t>
  </si>
  <si>
    <t>*Engraulis encrasicolus*</t>
  </si>
  <si>
    <t>RHERR</t>
  </si>
  <si>
    <t>Round herring (redeye)</t>
  </si>
  <si>
    <t>PEL1^[list of species is not exhaustive]</t>
  </si>
  <si>
    <t>Pelagic group 1 </t>
  </si>
  <si>
    <t>Clupeiformes^[Except *Sardinella* and *Engraulis* genera when explicit biomass estimates are provided for them]</t>
  </si>
  <si>
    <t>*Ilisha africana*</t>
  </si>
  <si>
    <t>PEL2^[list of species is not exhaustive]</t>
  </si>
  <si>
    <t>Pelagic group 2 </t>
  </si>
  <si>
    <t>Carangidae^[Except *Trachurus* and *Scomber* genera when explicit biomass estimates are provided for them]</t>
  </si>
  <si>
    <t>*Selene dorsalis*</t>
  </si>
  <si>
    <t>*Chloroscombrus chrysurus*</t>
  </si>
  <si>
    <t>*Decapterus rhonchus*</t>
  </si>
  <si>
    <t>*Decapterus punctatus*</t>
  </si>
  <si>
    <t>*Seriola carpenteri*</t>
  </si>
  <si>
    <t>Scombridae </t>
  </si>
  <si>
    <t>*Auxis thazard*</t>
  </si>
  <si>
    <t>*Sarda sarda*</t>
  </si>
  <si>
    <t>Sphyraenidae </t>
  </si>
  <si>
    <t>*Sphyraena guachancho*</t>
  </si>
  <si>
    <t>Trichiuridae</t>
  </si>
  <si>
    <t>*Trichiurus lepturus*</t>
  </si>
  <si>
    <t>*Lepidopus caudatus*</t>
  </si>
  <si>
    <t>*Brachydeuterus auritus*</t>
  </si>
  <si>
    <t>*Brachydeuterus auritus*^[only rarely used as a separated acoustic category; therefore included in PEL2]</t>
  </si>
  <si>
    <t>BOTT </t>
  </si>
  <si>
    <t>Demersal fish</t>
  </si>
  <si>
    <t>Sparidae^[Main taxa group]</t>
  </si>
  <si>
    <t>*Dentex angolensis*</t>
  </si>
  <si>
    <t>*D. macrophthalmus*</t>
  </si>
  <si>
    <t>*D. congoensis*</t>
  </si>
  <si>
    <t>*D. canariensis*</t>
  </si>
  <si>
    <t>*D. barnardi*</t>
  </si>
  <si>
    <t>*Pagellus bellottii*</t>
  </si>
  <si>
    <t>*Sparus caeruleostictus*</t>
  </si>
  <si>
    <t>*S. pagrus africanus*</t>
  </si>
  <si>
    <t>Other taxa </t>
  </si>
  <si>
    <t>*Saurida brasiliensis*</t>
  </si>
  <si>
    <t>*Ariomma bondi*</t>
  </si>
  <si>
    <t>*Pomadasys incisus*</t>
  </si>
  <si>
    <t>*Galeoides decadactylus*</t>
  </si>
  <si>
    <t>MESO1</t>
  </si>
  <si>
    <t>Lanternfish</t>
  </si>
  <si>
    <t>*Lampanyctodes hectoris*</t>
  </si>
  <si>
    <t>MESO2</t>
  </si>
  <si>
    <t>Lightfish</t>
  </si>
  <si>
    <t>*Maurolicus* spp.</t>
  </si>
  <si>
    <t>*Maurolicus walvisensis*</t>
  </si>
  <si>
    <t>MESO^[if more acoustic categories are required the codes MESO3 and MESO4 should be used, and reflected in the table of the survey report]</t>
  </si>
  <si>
    <t>Mesopelagic organisms</t>
  </si>
  <si>
    <t>PLANK </t>
  </si>
  <si>
    <t>Plankton </t>
  </si>
  <si>
    <t>Plankton, Euphausiids</t>
  </si>
  <si>
    <t>JELLY</t>
  </si>
  <si>
    <t>Jellyfish</t>
  </si>
  <si>
    <t>OTHER</t>
  </si>
  <si>
    <t>None of the above categories, or undetermined</t>
  </si>
  <si>
    <t>Internal code</t>
  </si>
  <si>
    <t>name_en</t>
  </si>
  <si>
    <t>name_no</t>
  </si>
  <si>
    <t>description</t>
  </si>
  <si>
    <t>CTD Seabird</t>
  </si>
  <si>
    <t>Conductivity, temperature and depth sensor</t>
  </si>
  <si>
    <t>WP II-56 cm</t>
  </si>
  <si>
    <t>Multinet-MIDI</t>
  </si>
  <si>
    <t>Multinet-MAMMOTH</t>
  </si>
  <si>
    <t xml:space="preserve">Bongo 60 cm </t>
  </si>
  <si>
    <t>MANTA-net</t>
  </si>
  <si>
    <t>Åkra trawl without floats (small, 228)</t>
  </si>
  <si>
    <t xml:space="preserve">Åkratrål u/blåser (små, 228) </t>
  </si>
  <si>
    <t>Åkrahamn small pelagic trawl 228 without floats</t>
  </si>
  <si>
    <t>Åkra trawl with floats (small, 228)</t>
  </si>
  <si>
    <t xml:space="preserve">Åkratrål m/blåser (små, 228) </t>
  </si>
  <si>
    <t>Åkrahamn small pelagic trawl 228 with floats</t>
  </si>
  <si>
    <t>Multpelt 624</t>
  </si>
  <si>
    <t>Multpelt 624 with inner lining</t>
  </si>
  <si>
    <t>Multpelt 624 m/inner nett</t>
  </si>
  <si>
    <t>Multpelt 624 with inner lining and DeepVision</t>
  </si>
  <si>
    <t>Multpelt 624 m/inner nett/DeepVision</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</si>
  <si>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</si>
  <si>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</si>
  <si>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</si>
  <si>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</si>
  <si>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</si>
  <si>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</si>
  <si>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</si>
  <si>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</si>
  <si>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 with strapping</t>
  </si>
  <si>
    <t>Gisund Super without floats, with tickler chain and strapping</t>
  </si>
  <si>
    <t>Gisund Super m/strappetau/kjettingmatte, u/blåser</t>
  </si>
  <si>
    <t>Gisund Super without floats /with tickler chain and strapping</t>
  </si>
  <si>
    <t>Macroplankton trawl large without floats</t>
  </si>
  <si>
    <t xml:space="preserve">Makropl.tr. S u/blåser </t>
  </si>
  <si>
    <t>Macroplankton trawl small without floats</t>
  </si>
  <si>
    <t>Macroplankton trawl large with floats</t>
  </si>
  <si>
    <t>Macroplankton trawl small with floats</t>
  </si>
  <si>
    <t xml:space="preserve">Leg 4.2 (left) and Leg 4.3 (right) RV Dr Fridtjof Nansen (mid Namibia to north Angola), 2022. Map contains and indicates the acoustic survey transects, pre-planned CTD and net sampling stations, and strata coverage for pelagic fish stock assessment purposes. </t>
  </si>
  <si>
    <t>*Maurolicus muelleri*</t>
  </si>
  <si>
    <t>Mesopelagic fish and other co-ocuring mesopelagic organisms (e.g., siphonophores)</t>
  </si>
  <si>
    <t>List of staff planned to participate in the survey.</t>
  </si>
  <si>
    <t>collectedsamplesangtab</t>
  </si>
  <si>
    <t>collectedsamplesnamtab</t>
  </si>
  <si>
    <t>mesopelagictransecttab</t>
  </si>
  <si>
    <t>Start and end postion, depth and date of the mesopelagic transect.</t>
  </si>
  <si>
    <t>Mesopelagic transect</t>
  </si>
  <si>
    <t>20 m</t>
  </si>
  <si>
    <r>
      <t>2500 m</t>
    </r>
    <r>
      <rPr>
        <sz val="8"/>
        <color theme="1"/>
        <rFont val="Times New Roman"/>
        <family val="1"/>
      </rPr>
      <t> </t>
    </r>
  </si>
  <si>
    <t>mesopelagicsurveystab</t>
  </si>
  <si>
    <t>Mesopelagic surveys conducted with the Dr. Fridtjof Nansen 2017 –2022.</t>
  </si>
  <si>
    <t>Morocco, CCLME</t>
  </si>
  <si>
    <t>Summer (June)</t>
  </si>
  <si>
    <t>Namibia, northern BCLME</t>
  </si>
  <si>
    <t>Summer (November)</t>
  </si>
  <si>
    <t>201840X</t>
  </si>
  <si>
    <t>Tanzania - Victoria</t>
  </si>
  <si>
    <t>Grid, transoceanic</t>
  </si>
  <si>
    <t>Victoria - Colombo</t>
  </si>
  <si>
    <t>Transoceanic</t>
  </si>
  <si>
    <t>Colomobo - Shittagong</t>
  </si>
  <si>
    <t>Summer (July)</t>
  </si>
  <si>
    <t>Winther (July)</t>
  </si>
  <si>
    <t>Winther (December)</t>
  </si>
  <si>
    <t>**20224XX**</t>
  </si>
  <si>
    <t>**Angola, subtropical BCLME**</t>
  </si>
  <si>
    <t>**Winter (September)**</t>
  </si>
  <si>
    <r>
      <t>**Mesopelagic transect</t>
    </r>
    <r>
      <rPr>
        <sz val="8"/>
        <color rgb="FF000000"/>
        <rFont val="Times New Roman"/>
        <family val="1"/>
      </rPr>
      <t>**</t>
    </r>
  </si>
  <si>
    <t>**Survey no**</t>
  </si>
  <si>
    <t>**Area**</t>
  </si>
  <si>
    <t>**Season**</t>
  </si>
  <si>
    <t>**Type**</t>
  </si>
  <si>
    <t>mesopeltransect</t>
  </si>
  <si>
    <t>Polystyrene boxes in the the walk-in freezer</t>
  </si>
  <si>
    <t>Map showing the planned mesopelagic transect, locations of the 5 fixed 24h diel cycle, extended sampling stations, and locations of the CTD and plankton sampling.</t>
  </si>
  <si>
    <t>mesodieltab</t>
  </si>
  <si>
    <t>Solar almanac and twilight periods defined for 9o S XXo E for 7th September, 2022 in local time (UTC+01) used to plan sampling activities capturing diel migration patterns.</t>
  </si>
  <si>
    <t>Dawn</t>
  </si>
  <si>
    <t>07:48 – 08:41 (0h 53m)</t>
  </si>
  <si>
    <t>Day</t>
  </si>
  <si>
    <t>08:41 – 19:19 (10h 38m)</t>
  </si>
  <si>
    <t>Dusk</t>
  </si>
  <si>
    <t>19:19 – 20:12 (0h 53m)</t>
  </si>
  <si>
    <t>Night</t>
  </si>
  <si>
    <t>20:12 – 07:48 (11:36)</t>
  </si>
  <si>
    <t>Shift</t>
  </si>
  <si>
    <t>CTD / LADCP</t>
  </si>
  <si>
    <t>Comments</t>
  </si>
  <si>
    <t>07:30-08:30</t>
  </si>
  <si>
    <t>D</t>
  </si>
  <si>
    <t>CW</t>
  </si>
  <si>
    <t>X</t>
  </si>
  <si>
    <t>Trawl in the water at 07:30. Trawl on deck 08:30</t>
  </si>
  <si>
    <t>2.0-2.5</t>
  </si>
  <si>
    <t>08:30-09:00</t>
  </si>
  <si>
    <t>09:00-10:30</t>
  </si>
  <si>
    <t>CW during MultPelt</t>
  </si>
  <si>
    <t>3.0-3.5</t>
  </si>
  <si>
    <t>10:30-11:00</t>
  </si>
  <si>
    <t>FM</t>
  </si>
  <si>
    <t>FM on the way back before shooting the MultPelt</t>
  </si>
  <si>
    <t>11:00-12:00</t>
  </si>
  <si>
    <t>CW during Krill Trawl</t>
  </si>
  <si>
    <t>12:00-13:00</t>
  </si>
  <si>
    <t>N</t>
  </si>
  <si>
    <t>5 nets</t>
  </si>
  <si>
    <t>2.5 - 3</t>
  </si>
  <si>
    <t>13:00-14:00</t>
  </si>
  <si>
    <t>CW*</t>
  </si>
  <si>
    <t>+Niskin</t>
  </si>
  <si>
    <t>14:00-15:00</t>
  </si>
  <si>
    <t>15:00-16:00</t>
  </si>
  <si>
    <t>16:00-17:00</t>
  </si>
  <si>
    <t>LSSS Scrutinizing</t>
  </si>
  <si>
    <t>17:00-18:00</t>
  </si>
  <si>
    <t>18:00-19:00</t>
  </si>
  <si>
    <t>19:00-20:00</t>
  </si>
  <si>
    <t>Trawl in the water at 19:00. Trawl on deck 20:00</t>
  </si>
  <si>
    <t>20:00-21:00</t>
  </si>
  <si>
    <t>21:00-22:00</t>
  </si>
  <si>
    <t>22:00-22:30</t>
  </si>
  <si>
    <t>22:30-00:00</t>
  </si>
  <si>
    <t>00:00-01:00</t>
  </si>
  <si>
    <t>-Niskin</t>
  </si>
  <si>
    <t>01:00-02:00</t>
  </si>
  <si>
    <t>02:00-03:00</t>
  </si>
  <si>
    <t>03:00-04:30</t>
  </si>
  <si>
    <t>04:00-06:00</t>
  </si>
  <si>
    <t>06:00-07:30</t>
  </si>
  <si>
    <t>* Bottom Detection on EK80: ON</t>
  </si>
  <si>
    <t>mesosamplingtab</t>
  </si>
  <si>
    <t>Sampling protocol for the 24-hour diel cycle stations (sunrise: approx. 08:30; sunset: approx. 19:30).</t>
  </si>
  <si>
    <t>Day time</t>
  </si>
  <si>
    <t>sunrise</t>
  </si>
  <si>
    <t>sunset</t>
  </si>
  <si>
    <t>morning nautical twilight</t>
  </si>
  <si>
    <t>evening nautical twilight</t>
  </si>
  <si>
    <t>dawn</t>
  </si>
  <si>
    <t>day</t>
  </si>
  <si>
    <t>dusk</t>
  </si>
  <si>
    <t>night</t>
  </si>
  <si>
    <t>WP2 (180 µm), Multinet midi (180 µm) [Only used in 4.3], Echo sounders (EK 80), flow cam</t>
  </si>
  <si>
    <t>Start</t>
  </si>
  <si>
    <t>End</t>
  </si>
  <si>
    <t>Position</t>
  </si>
  <si>
    <t>Depth</t>
  </si>
  <si>
    <t>Date</t>
  </si>
  <si>
    <t>08:41</t>
  </si>
  <si>
    <t>Time</t>
  </si>
  <si>
    <t>19:19</t>
  </si>
  <si>
    <t>07:48</t>
  </si>
  <si>
    <t>20:12</t>
  </si>
  <si>
    <t>Local time</t>
  </si>
  <si>
    <t>Diel cycle</t>
  </si>
  <si>
    <t>EK 80 pulse</t>
  </si>
  <si>
    <t>Krill Trawl targeted</t>
  </si>
  <si>
    <t>Multpelt targeted</t>
  </si>
  <si>
    <t>Multinet  targeted</t>
  </si>
  <si>
    <t>Bongo V-tow</t>
  </si>
  <si>
    <t>WP2 180</t>
  </si>
  <si>
    <t>WP2 64</t>
  </si>
  <si>
    <t>Krill trawl V-tow</t>
  </si>
  <si>
    <t>Speed [knots]</t>
  </si>
  <si>
    <t>Investigation of bias in echo sounder acoustic surveys using omni directional sonar</t>
  </si>
  <si>
    <t xml:space="preserve">Characterization of the mesopelagic community in the subtropical Benguela along a long-term reference oceanographical transect. </t>
  </si>
  <si>
    <t>Theme 6</t>
  </si>
  <si>
    <t>Microplastics in sardinella and anchovy and microplastics and marine debris in the water column</t>
  </si>
  <si>
    <t>Nikolaos Nikolioudakis (IMR), Uatzavi Uavini (MFMR), Filomena Vaz Velho (INIPM)</t>
  </si>
  <si>
    <t>Edoardo Mostarda (FAO), Stamatina Isari (IMR), **local collaborating partners to be included**</t>
  </si>
  <si>
    <t>Stamatina Isari (IMR), Maik Tiedemann (IMR), Marek Ostrowski (IMR) , **local collaborating partners to be included**</t>
  </si>
  <si>
    <t>Bjørn Einar Grøsvik (IMR), **local collaborating partners to be included**</t>
  </si>
  <si>
    <t>Marian Kjellevold (IMR), **local collaborating partners to be included**</t>
  </si>
  <si>
    <t>Marek Ostrowski (IMR), **local collaborating partners to be included**</t>
  </si>
  <si>
    <t>Melissa Chierici (IMR), Anja van der Plas (NatMIRC)</t>
  </si>
  <si>
    <t>Mesopelagic taxonomy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</si>
</sst>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Calibri"/>
      <family val="2"/>
      <scheme val="minor"/>
    </font>
    <font>
      <b/>
      <sz val="11"/>
      <color theme="1"/>
      <name val="Calibri"/>
      <family val="2"/>
      <scheme val="minor"/>
    </font>
    <font>
      <sz val="11"/>
      <color theme="1"/>
      <name val="Arial"/>
      <family val="2"/>
    </font>
    <font>
      <b/>
      <sz val="11"/>
      <color theme="1"/>
      <name val="Arial"/>
      <family val="2"/>
    </font>
    <font>
      <sz val="11"/>
      <color rgb="FF000000"/>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sz val="12"/>
      <color theme="1"/>
      <name val="Calibri"/>
      <family val="2"/>
      <scheme val="minor"/>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9"/>
      <color theme="1"/>
      <name val="Arial"/>
      <family val="2"/>
    </font>
    <font>
      <sz val="10.5"/>
      <color rgb="FF000000"/>
      <name val="Arial"/>
      <family val="2"/>
      <charset val="1"/>
    </font>
    <font>
      <sz val="11.5"/>
      <color rgb="FF212121"/>
      <name val="Arial"/>
      <family val="2"/>
    </font>
    <font>
      <sz val="8"/>
      <name val="Calibri"/>
      <family val="2"/>
      <scheme val="minor"/>
    </font>
    <font>
      <sz val="11"/>
      <color rgb="FF444444"/>
      <name val="Calibri"/>
      <family val="2"/>
      <charset val="1"/>
    </font>
    <font>
      <sz val="12"/>
      <color rgb="FF000000"/>
      <name val="Calibri"/>
      <family val="2"/>
      <charset val="1"/>
    </font>
    <font>
      <b/>
      <sz val="11"/>
      <color rgb="FF000000"/>
      <name val="Calibri"/>
      <family val="2"/>
    </font>
    <font>
      <sz val="11"/>
      <color theme="1"/>
      <name val="Calibri"/>
      <family val="2"/>
      <charset val="1"/>
    </font>
    <font>
      <b/>
      <sz val="10"/>
      <color rgb="FF000000"/>
      <name val="Calibri"/>
      <scheme val="minor"/>
    </font>
    <font>
      <sz val="10"/>
      <color rgb="FF000000"/>
      <name val="Calibri"/>
      <scheme val="minor"/>
    </font>
    <font>
      <i/>
      <sz val="10"/>
      <color rgb="FF000000"/>
      <name val="Calibri"/>
      <scheme val="minor"/>
    </font>
    <font>
      <sz val="11"/>
      <color rgb="FF000000"/>
      <name val="Arial"/>
    </font>
    <font>
      <sz val="9"/>
      <color rgb="FF000000"/>
      <name val="Arial"/>
      <charset val="1"/>
    </font>
    <font>
      <sz val="12"/>
      <color theme="1"/>
      <name val="Arial"/>
      <family val="2"/>
    </font>
    <font>
      <sz val="10"/>
      <color theme="1"/>
      <name val="Times New Roman"/>
      <family val="1"/>
    </font>
    <font>
      <sz val="8"/>
      <color theme="1"/>
      <name val="Times New Roman"/>
      <family val="1"/>
    </font>
    <font>
      <sz val="10"/>
      <color theme="1"/>
      <name val="Arial"/>
      <family val="2"/>
    </font>
    <font>
      <sz val="10"/>
      <color rgb="FF000000"/>
      <name val="Arial"/>
      <family val="2"/>
    </font>
    <font>
      <sz val="8"/>
      <color rgb="FF000000"/>
      <name val="Times New Roman"/>
      <family val="1"/>
    </font>
    <font>
      <sz val="11"/>
      <color theme="1"/>
      <name val="Calibri"/>
      <family val="2"/>
    </font>
    <font>
      <sz val="10"/>
      <color theme="1"/>
      <name val="Calibri"/>
      <family val="2"/>
    </font>
    <font>
      <sz val="14"/>
      <color theme="1"/>
      <name val="Calibri"/>
      <family val="2"/>
    </font>
    <font>
      <sz val="12"/>
      <color theme="1"/>
      <name val="Calibri"/>
      <family val="2"/>
    </font>
    <font>
      <sz val="20"/>
      <color theme="1"/>
      <name val="Calibri"/>
      <family val="2"/>
    </font>
  </fonts>
  <fills count="14">
    <fill>
      <patternFill patternType="none"/>
    </fill>
    <fill>
      <patternFill patternType="gray125"/>
    </fill>
    <fill>
      <patternFill patternType="solid">
        <fgColor rgb="FFFFFF00"/>
        <bgColor rgb="FF000000"/>
      </patternFill>
    </fill>
    <fill>
      <patternFill patternType="solid">
        <fgColor rgb="FFFFFFFF"/>
        <bgColor rgb="FF000000"/>
      </patternFill>
    </fill>
    <fill>
      <patternFill patternType="solid">
        <fgColor rgb="FFFFFF00"/>
        <bgColor indexed="64"/>
      </patternFill>
    </fill>
    <fill>
      <patternFill patternType="solid">
        <fgColor theme="0"/>
        <bgColor rgb="FF000000"/>
      </patternFill>
    </fill>
    <fill>
      <patternFill patternType="solid">
        <fgColor theme="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rgb="FFBDD7EE"/>
        <bgColor rgb="FF000000"/>
      </patternFill>
    </fill>
    <fill>
      <patternFill patternType="solid">
        <fgColor rgb="FFE2EFDA"/>
        <bgColor rgb="FF000000"/>
      </patternFill>
    </fill>
    <fill>
      <patternFill patternType="solid">
        <fgColor rgb="FFFCE4D6"/>
        <bgColor indexed="64"/>
      </patternFill>
    </fill>
    <fill>
      <patternFill patternType="solid">
        <fgColor rgb="FFD9D9D9"/>
        <bgColor rgb="FF000000"/>
      </patternFill>
    </fill>
    <fill>
      <patternFill patternType="solid">
        <fgColor theme="0" tint="-0.249977111117893"/>
        <bgColor indexed="64"/>
      </patternFill>
    </fill>
  </fills>
  <borders count="22">
    <border>
      <left/>
      <right/>
      <top/>
      <bottom/>
      <diagonal/>
    </border>
    <border>
      <left/>
      <right style="medium">
        <color indexed="64"/>
      </right>
      <top/>
      <bottom style="medium">
        <color indexed="64"/>
      </bottom>
      <diagonal/>
    </border>
    <border>
      <left style="medium">
        <color rgb="FF000000"/>
      </left>
      <right style="medium">
        <color rgb="FF000000"/>
      </right>
      <top style="medium">
        <color rgb="FF000000"/>
      </top>
      <bottom style="medium">
        <color rgb="FF000000"/>
      </bottom>
      <diagonal/>
    </border>
    <border>
      <left/>
      <right style="medium">
        <color rgb="FF000000"/>
      </right>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right/>
      <top style="thin">
        <color indexed="64"/>
      </top>
      <bottom/>
      <diagonal/>
    </border>
    <border>
      <left/>
      <right/>
      <top style="thin">
        <color rgb="FF000000"/>
      </top>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medium">
        <color indexed="64"/>
      </right>
      <top style="medium">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159">
    <xf numFmtId="0" fontId="0" fillId="0" borderId="0" xfId="0"/>
    <xf numFmtId="0" fontId="1" fillId="0" borderId="0" xfId="0" applyFont="1"/>
    <xf numFmtId="0" fontId="3" fillId="0" borderId="2" xfId="0" applyFont="1" applyBorder="1" applyAlignment="1">
      <alignment vertical="center" wrapText="1"/>
    </xf>
    <xf numFmtId="0" fontId="3" fillId="0" borderId="4" xfId="0" applyFont="1" applyBorder="1" applyAlignment="1">
      <alignment vertical="center" wrapText="1"/>
    </xf>
    <xf numFmtId="0" fontId="3" fillId="0" borderId="5" xfId="0" applyFont="1" applyBorder="1" applyAlignment="1">
      <alignment vertical="center" wrapText="1"/>
    </xf>
    <xf numFmtId="0" fontId="2" fillId="0" borderId="3" xfId="0" applyFont="1" applyBorder="1" applyAlignment="1">
      <alignment vertical="center" wrapText="1"/>
    </xf>
    <xf numFmtId="0" fontId="9" fillId="0" borderId="0" xfId="0" applyFont="1"/>
    <xf numFmtId="0" fontId="10" fillId="0" borderId="0" xfId="0" applyFont="1"/>
    <xf numFmtId="0" fontId="11" fillId="0" borderId="0" xfId="0" applyFont="1"/>
    <xf numFmtId="0" fontId="12" fillId="0" borderId="0" xfId="0" applyFont="1" applyAlignment="1">
      <alignment wrapText="1"/>
    </xf>
    <xf numFmtId="0" fontId="16" fillId="0" borderId="0" xfId="0" applyFont="1"/>
    <xf numFmtId="0" fontId="18" fillId="0" borderId="7" xfId="0" applyFont="1" applyBorder="1" applyAlignment="1">
      <alignment vertical="center"/>
    </xf>
    <xf numFmtId="0" fontId="19" fillId="0" borderId="0" xfId="0" applyFont="1" applyAlignment="1">
      <alignment vertical="center"/>
    </xf>
    <xf numFmtId="0" fontId="19" fillId="0" borderId="8" xfId="0" applyFont="1" applyBorder="1" applyAlignment="1">
      <alignment vertical="center"/>
    </xf>
    <xf numFmtId="0" fontId="14" fillId="0" borderId="0" xfId="0" applyFont="1" applyAlignment="1">
      <alignment vertical="center" wrapText="1"/>
    </xf>
    <xf numFmtId="0" fontId="5" fillId="0" borderId="0" xfId="1" applyAlignment="1">
      <alignment wrapText="1"/>
    </xf>
    <xf numFmtId="0" fontId="5" fillId="0" borderId="0" xfId="1"/>
    <xf numFmtId="0" fontId="11" fillId="0" borderId="0" xfId="0" applyFont="1" applyAlignment="1">
      <alignment wrapText="1"/>
    </xf>
    <xf numFmtId="0" fontId="12" fillId="0" borderId="0" xfId="0" applyFont="1"/>
    <xf numFmtId="0" fontId="13" fillId="0" borderId="0" xfId="0" applyFont="1" applyAlignment="1">
      <alignment vertical="center" wrapText="1"/>
    </xf>
    <xf numFmtId="0" fontId="17" fillId="0" borderId="0" xfId="0" applyFont="1" applyAlignment="1">
      <alignment vertical="center" wrapText="1"/>
    </xf>
    <xf numFmtId="0" fontId="17" fillId="0" borderId="0" xfId="0" applyFont="1" applyAlignment="1">
      <alignment horizontal="center" vertical="center" wrapText="1"/>
    </xf>
    <xf numFmtId="0" fontId="15" fillId="0" borderId="0" xfId="0" applyFont="1" applyAlignment="1">
      <alignment vertical="center" wrapText="1"/>
    </xf>
    <xf numFmtId="0" fontId="13" fillId="0" borderId="0" xfId="0" applyFont="1" applyAlignment="1">
      <alignment horizontal="center" vertical="center" wrapText="1"/>
    </xf>
    <xf numFmtId="0" fontId="21" fillId="0" borderId="0" xfId="0" applyFont="1" applyAlignment="1">
      <alignment wrapText="1"/>
    </xf>
    <xf numFmtId="0" fontId="0" fillId="0" borderId="0" xfId="0" applyAlignment="1">
      <alignment horizontal="center" vertical="center"/>
    </xf>
    <xf numFmtId="0" fontId="0" fillId="6" borderId="0" xfId="0" applyFill="1"/>
    <xf numFmtId="0" fontId="23" fillId="0" borderId="1" xfId="0" applyFont="1" applyBorder="1" applyAlignment="1">
      <alignment vertical="center" wrapText="1"/>
    </xf>
    <xf numFmtId="0" fontId="8" fillId="0" borderId="0" xfId="0" applyFont="1"/>
    <xf numFmtId="0" fontId="5" fillId="0" borderId="0" xfId="1" applyFill="1" applyBorder="1" applyAlignment="1"/>
    <xf numFmtId="0" fontId="11" fillId="0" borderId="9" xfId="0" applyFont="1" applyBorder="1"/>
    <xf numFmtId="0" fontId="5" fillId="0" borderId="0" xfId="1" applyBorder="1"/>
    <xf numFmtId="0" fontId="12" fillId="0" borderId="0" xfId="0" applyFont="1" applyAlignment="1">
      <alignment horizontal="left" wrapText="1"/>
    </xf>
    <xf numFmtId="0" fontId="11" fillId="0" borderId="0" xfId="0" applyFont="1" applyAlignment="1">
      <alignment horizontal="left" wrapText="1"/>
    </xf>
    <xf numFmtId="0" fontId="11" fillId="0" borderId="0" xfId="0" applyFont="1" applyAlignment="1">
      <alignment horizontal="left"/>
    </xf>
    <xf numFmtId="0" fontId="12" fillId="0" borderId="0" xfId="0" applyFont="1" applyAlignment="1">
      <alignment horizontal="left"/>
    </xf>
    <xf numFmtId="0" fontId="11" fillId="0" borderId="9" xfId="0" applyFont="1" applyBorder="1" applyAlignment="1">
      <alignment horizontal="left"/>
    </xf>
    <xf numFmtId="0" fontId="0" fillId="0" borderId="0" xfId="0" applyAlignment="1">
      <alignment horizontal="left"/>
    </xf>
    <xf numFmtId="0" fontId="24" fillId="0" borderId="0" xfId="0" applyFont="1"/>
    <xf numFmtId="0" fontId="25" fillId="0" borderId="0" xfId="0" applyFont="1"/>
    <xf numFmtId="0" fontId="11" fillId="0" borderId="0" xfId="0" applyFont="1" applyAlignment="1">
      <alignment horizontal="center"/>
    </xf>
    <xf numFmtId="0" fontId="8" fillId="0" borderId="0" xfId="0" applyFont="1" applyAlignment="1">
      <alignment vertical="center" wrapText="1"/>
    </xf>
    <xf numFmtId="14" fontId="12" fillId="0" borderId="0" xfId="0" quotePrefix="1" applyNumberFormat="1" applyFont="1" applyAlignment="1">
      <alignment horizontal="right" wrapText="1"/>
    </xf>
    <xf numFmtId="0" fontId="8" fillId="0" borderId="0" xfId="0" applyFont="1" applyAlignment="1">
      <alignment vertical="center"/>
    </xf>
    <xf numFmtId="0" fontId="11" fillId="0" borderId="0" xfId="0" applyFont="1" applyAlignment="1">
      <alignment vertical="top" wrapText="1"/>
    </xf>
    <xf numFmtId="0" fontId="11" fillId="8" borderId="0" xfId="0" applyFont="1" applyFill="1"/>
    <xf numFmtId="0" fontId="0" fillId="8" borderId="0" xfId="0" applyFill="1"/>
    <xf numFmtId="0" fontId="27" fillId="0" borderId="0" xfId="0" applyFont="1"/>
    <xf numFmtId="0" fontId="28" fillId="0" borderId="0" xfId="0" applyFont="1"/>
    <xf numFmtId="0" fontId="29" fillId="0" borderId="0" xfId="0" applyFont="1"/>
    <xf numFmtId="0" fontId="8" fillId="2" borderId="0" xfId="0" applyFont="1" applyFill="1"/>
    <xf numFmtId="0" fontId="8" fillId="9" borderId="0" xfId="0" applyFont="1" applyFill="1"/>
    <xf numFmtId="0" fontId="8" fillId="10" borderId="0" xfId="0" applyFont="1" applyFill="1"/>
    <xf numFmtId="0" fontId="8" fillId="11" borderId="0" xfId="0" applyFont="1" applyFill="1"/>
    <xf numFmtId="0" fontId="0" fillId="11" borderId="0" xfId="0" applyFill="1"/>
    <xf numFmtId="0" fontId="11" fillId="12" borderId="0" xfId="0" applyFont="1" applyFill="1"/>
    <xf numFmtId="0" fontId="0" fillId="13" borderId="0" xfId="0" applyFill="1" applyProtection="1">
      <protection locked="0"/>
    </xf>
    <xf numFmtId="0" fontId="0" fillId="4" borderId="0" xfId="0" applyFill="1"/>
    <xf numFmtId="0" fontId="30" fillId="0" borderId="0" xfId="0" applyFont="1"/>
    <xf numFmtId="0" fontId="31" fillId="0" borderId="0" xfId="0" applyFont="1" applyAlignment="1">
      <alignment wrapText="1"/>
    </xf>
    <xf numFmtId="0" fontId="32" fillId="0" borderId="11" xfId="0" applyFont="1" applyBorder="1" applyAlignment="1">
      <alignment wrapText="1"/>
    </xf>
    <xf numFmtId="0" fontId="33" fillId="0" borderId="11" xfId="0" applyFont="1" applyBorder="1" applyAlignment="1">
      <alignment wrapText="1"/>
    </xf>
    <xf numFmtId="0" fontId="32" fillId="0" borderId="0" xfId="0" applyFont="1" applyAlignment="1">
      <alignment wrapText="1"/>
    </xf>
    <xf numFmtId="0" fontId="15" fillId="0" borderId="11" xfId="0" applyFont="1" applyBorder="1"/>
    <xf numFmtId="0" fontId="13" fillId="0" borderId="11" xfId="0" applyFont="1" applyBorder="1" applyAlignment="1">
      <alignment wrapText="1"/>
    </xf>
    <xf numFmtId="0" fontId="15" fillId="0" borderId="11" xfId="0" applyFont="1" applyBorder="1" applyAlignment="1">
      <alignment wrapText="1"/>
    </xf>
    <xf numFmtId="0" fontId="32" fillId="0" borderId="0" xfId="0" applyFont="1"/>
    <xf numFmtId="0" fontId="13" fillId="0" borderId="11" xfId="0" applyFont="1" applyBorder="1"/>
    <xf numFmtId="0" fontId="34" fillId="0" borderId="0" xfId="0" applyFont="1"/>
    <xf numFmtId="0" fontId="32" fillId="0" borderId="11" xfId="0" applyFont="1" applyBorder="1"/>
    <xf numFmtId="0" fontId="32" fillId="0" borderId="12" xfId="0" applyFont="1" applyBorder="1"/>
    <xf numFmtId="0" fontId="32" fillId="0" borderId="10" xfId="0" applyFont="1" applyBorder="1"/>
    <xf numFmtId="0" fontId="13" fillId="0" borderId="10" xfId="0" applyFont="1" applyBorder="1"/>
    <xf numFmtId="0" fontId="27" fillId="4" borderId="0" xfId="0" applyFont="1" applyFill="1"/>
    <xf numFmtId="0" fontId="6" fillId="7" borderId="13" xfId="0" applyFont="1" applyFill="1" applyBorder="1" applyAlignment="1">
      <alignment vertical="center"/>
    </xf>
    <xf numFmtId="0" fontId="6" fillId="7" borderId="13" xfId="0" applyFont="1" applyFill="1" applyBorder="1" applyAlignment="1">
      <alignment vertical="center" wrapText="1"/>
    </xf>
    <xf numFmtId="0" fontId="6" fillId="0" borderId="13" xfId="0" applyFont="1" applyBorder="1" applyAlignment="1">
      <alignment vertical="center" wrapText="1"/>
    </xf>
    <xf numFmtId="0" fontId="27" fillId="0" borderId="13" xfId="0" applyFont="1" applyBorder="1" applyAlignment="1">
      <alignment wrapText="1"/>
    </xf>
    <xf numFmtId="0" fontId="6" fillId="2" borderId="13" xfId="0" applyFont="1" applyFill="1" applyBorder="1" applyAlignment="1">
      <alignment vertical="center"/>
    </xf>
    <xf numFmtId="0" fontId="6" fillId="2" borderId="13" xfId="0" applyFont="1" applyFill="1" applyBorder="1" applyAlignment="1">
      <alignment vertical="center" wrapText="1"/>
    </xf>
    <xf numFmtId="0" fontId="6" fillId="0" borderId="13" xfId="0" applyFont="1" applyBorder="1" applyAlignment="1">
      <alignment vertical="center"/>
    </xf>
    <xf numFmtId="0" fontId="6" fillId="3" borderId="13" xfId="0" applyFont="1" applyFill="1" applyBorder="1" applyAlignment="1">
      <alignment vertical="center" wrapText="1"/>
    </xf>
    <xf numFmtId="0" fontId="5" fillId="3" borderId="13" xfId="1" applyFill="1" applyBorder="1" applyAlignment="1">
      <alignment vertical="center" wrapText="1"/>
    </xf>
    <xf numFmtId="17" fontId="6" fillId="3" borderId="13" xfId="0" applyNumberFormat="1" applyFont="1" applyFill="1" applyBorder="1" applyAlignment="1">
      <alignment vertical="center" wrapText="1"/>
    </xf>
    <xf numFmtId="0" fontId="13" fillId="2" borderId="13" xfId="0" applyFont="1" applyFill="1" applyBorder="1" applyAlignment="1">
      <alignment vertical="top" wrapText="1"/>
    </xf>
    <xf numFmtId="0" fontId="13" fillId="2" borderId="13" xfId="0" applyFont="1" applyFill="1" applyBorder="1" applyAlignment="1">
      <alignment vertical="center" wrapText="1"/>
    </xf>
    <xf numFmtId="0" fontId="7" fillId="0" borderId="13" xfId="0" applyFont="1" applyBorder="1" applyAlignment="1">
      <alignment vertical="center" wrapText="1"/>
    </xf>
    <xf numFmtId="0" fontId="22" fillId="0" borderId="13" xfId="0" applyFont="1" applyBorder="1" applyAlignment="1">
      <alignment vertical="center" wrapText="1"/>
    </xf>
    <xf numFmtId="0" fontId="4" fillId="2" borderId="13" xfId="0" applyFont="1" applyFill="1" applyBorder="1" applyAlignment="1">
      <alignment vertical="center"/>
    </xf>
    <xf numFmtId="0" fontId="6" fillId="5" borderId="13" xfId="0" applyFont="1" applyFill="1" applyBorder="1" applyAlignment="1">
      <alignment vertical="center" wrapText="1"/>
    </xf>
    <xf numFmtId="0" fontId="23" fillId="0" borderId="13" xfId="0" applyFont="1" applyBorder="1" applyAlignment="1">
      <alignment vertical="center" wrapText="1"/>
    </xf>
    <xf numFmtId="0" fontId="6" fillId="2" borderId="6" xfId="0" applyFont="1" applyFill="1" applyBorder="1" applyAlignment="1">
      <alignment horizontal="center" vertical="center" wrapText="1"/>
    </xf>
    <xf numFmtId="0" fontId="6" fillId="2" borderId="17"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6" fillId="3" borderId="13" xfId="0" applyFont="1" applyFill="1" applyBorder="1" applyAlignment="1">
      <alignment vertical="center"/>
    </xf>
    <xf numFmtId="0" fontId="6" fillId="5" borderId="16" xfId="0" applyFont="1" applyFill="1" applyBorder="1" applyAlignment="1">
      <alignment vertical="center" wrapText="1"/>
    </xf>
    <xf numFmtId="0" fontId="6" fillId="0" borderId="18" xfId="0" applyFont="1" applyBorder="1" applyAlignment="1">
      <alignment vertical="center" wrapText="1"/>
    </xf>
    <xf numFmtId="0" fontId="6" fillId="0" borderId="19" xfId="0" applyFont="1" applyBorder="1" applyAlignment="1">
      <alignment vertical="center" wrapText="1"/>
    </xf>
    <xf numFmtId="0" fontId="6" fillId="2" borderId="19" xfId="0" applyFont="1" applyFill="1" applyBorder="1" applyAlignment="1">
      <alignment horizontal="center" vertical="center" wrapText="1"/>
    </xf>
    <xf numFmtId="0" fontId="6" fillId="3" borderId="19" xfId="0" applyFont="1" applyFill="1" applyBorder="1" applyAlignment="1">
      <alignment vertical="center" wrapText="1"/>
    </xf>
    <xf numFmtId="0" fontId="6" fillId="0" borderId="20" xfId="0" applyFont="1" applyBorder="1" applyAlignment="1">
      <alignment vertical="center" wrapText="1"/>
    </xf>
    <xf numFmtId="0" fontId="6" fillId="0" borderId="14" xfId="0" applyFont="1" applyBorder="1" applyAlignment="1">
      <alignment vertical="center"/>
    </xf>
    <xf numFmtId="0" fontId="6" fillId="0" borderId="14" xfId="0" applyFont="1" applyBorder="1" applyAlignment="1">
      <alignment vertical="center" wrapText="1"/>
    </xf>
    <xf numFmtId="0" fontId="23" fillId="0" borderId="14" xfId="0" applyFont="1" applyBorder="1" applyAlignment="1">
      <alignment vertical="center" wrapText="1"/>
    </xf>
    <xf numFmtId="0" fontId="6" fillId="5" borderId="14" xfId="0" applyFont="1" applyFill="1" applyBorder="1" applyAlignment="1">
      <alignment vertical="center" wrapText="1"/>
    </xf>
    <xf numFmtId="0" fontId="6" fillId="0" borderId="15" xfId="0" applyFont="1" applyBorder="1" applyAlignment="1">
      <alignment vertical="center"/>
    </xf>
    <xf numFmtId="0" fontId="6" fillId="0" borderId="15" xfId="0" applyFont="1" applyBorder="1" applyAlignment="1">
      <alignment vertical="center" wrapText="1"/>
    </xf>
    <xf numFmtId="0" fontId="35" fillId="0" borderId="13" xfId="0" applyFont="1" applyBorder="1" applyAlignment="1">
      <alignment vertical="center"/>
    </xf>
    <xf numFmtId="0" fontId="27" fillId="0" borderId="13" xfId="0" applyFont="1" applyBorder="1"/>
    <xf numFmtId="0" fontId="6" fillId="7" borderId="13" xfId="0" applyFont="1" applyFill="1" applyBorder="1" applyAlignment="1">
      <alignment horizontal="center" vertical="center" wrapText="1"/>
    </xf>
    <xf numFmtId="0" fontId="11" fillId="0" borderId="13" xfId="0" applyFont="1" applyBorder="1" applyAlignment="1">
      <alignment vertical="center" wrapText="1"/>
    </xf>
    <xf numFmtId="0" fontId="0" fillId="0" borderId="16" xfId="0" applyBorder="1"/>
    <xf numFmtId="0" fontId="0" fillId="0" borderId="13" xfId="0" applyBorder="1"/>
    <xf numFmtId="0" fontId="32" fillId="0" borderId="0" xfId="0" applyFont="1" applyBorder="1"/>
    <xf numFmtId="0" fontId="0" fillId="0" borderId="0" xfId="0" applyBorder="1"/>
    <xf numFmtId="0" fontId="11" fillId="0" borderId="0" xfId="0" applyFont="1" applyFill="1"/>
    <xf numFmtId="0" fontId="16" fillId="0" borderId="0" xfId="0" applyFont="1" applyFill="1" applyBorder="1"/>
    <xf numFmtId="0" fontId="0" fillId="0" borderId="0" xfId="0" applyFont="1" applyBorder="1"/>
    <xf numFmtId="0" fontId="5" fillId="0" borderId="0" xfId="1" applyFont="1" applyBorder="1" applyAlignment="1">
      <alignment horizontal="justify" vertical="center"/>
    </xf>
    <xf numFmtId="0" fontId="37" fillId="0" borderId="0" xfId="0" applyFont="1" applyAlignment="1">
      <alignment horizontal="justify" vertical="center"/>
    </xf>
    <xf numFmtId="0" fontId="39" fillId="0" borderId="21" xfId="0" applyFont="1" applyBorder="1" applyAlignment="1">
      <alignment horizontal="justify" vertical="center" wrapText="1"/>
    </xf>
    <xf numFmtId="0" fontId="40" fillId="0" borderId="21" xfId="0" applyFont="1" applyFill="1" applyBorder="1" applyAlignment="1">
      <alignment horizontal="justify" vertical="center" wrapText="1"/>
    </xf>
    <xf numFmtId="0" fontId="0" fillId="0" borderId="0" xfId="0" applyFont="1"/>
    <xf numFmtId="0" fontId="9" fillId="0" borderId="0" xfId="0" applyFont="1" applyAlignment="1">
      <alignment vertical="center"/>
    </xf>
    <xf numFmtId="0" fontId="20" fillId="0" borderId="0" xfId="0" applyFont="1" applyFill="1" applyBorder="1" applyAlignment="1">
      <alignment vertical="center"/>
    </xf>
    <xf numFmtId="0" fontId="20" fillId="0" borderId="8" xfId="0" applyFont="1" applyFill="1" applyBorder="1" applyAlignment="1">
      <alignment vertical="center"/>
    </xf>
    <xf numFmtId="0" fontId="42" fillId="0" borderId="0" xfId="0" applyFont="1" applyFill="1" applyBorder="1" applyAlignment="1">
      <alignment horizontal="center" vertical="center" wrapText="1"/>
    </xf>
    <xf numFmtId="0" fontId="42" fillId="0" borderId="0" xfId="0" applyFont="1" applyFill="1" applyBorder="1" applyAlignment="1">
      <alignment horizontal="center" vertical="center"/>
    </xf>
    <xf numFmtId="0" fontId="43" fillId="0" borderId="0" xfId="0" applyFont="1" applyFill="1" applyBorder="1" applyAlignment="1">
      <alignment horizontal="center" vertical="center"/>
    </xf>
    <xf numFmtId="0" fontId="44" fillId="0" borderId="0" xfId="0" applyFont="1" applyFill="1" applyBorder="1" applyAlignment="1">
      <alignment horizontal="center" vertical="center" wrapText="1"/>
    </xf>
    <xf numFmtId="0" fontId="45" fillId="0" borderId="0" xfId="0" applyFont="1" applyFill="1" applyBorder="1" applyAlignment="1">
      <alignment horizontal="center" vertical="center" wrapText="1"/>
    </xf>
    <xf numFmtId="0" fontId="46" fillId="0" borderId="0" xfId="0" applyFont="1" applyFill="1" applyBorder="1" applyAlignment="1">
      <alignment horizontal="center" vertical="center" wrapText="1"/>
    </xf>
    <xf numFmtId="0" fontId="42" fillId="0" borderId="8" xfId="0" applyFont="1" applyFill="1" applyBorder="1" applyAlignment="1">
      <alignment horizontal="center" vertical="center"/>
    </xf>
    <xf numFmtId="0" fontId="43" fillId="0" borderId="8" xfId="0" applyFont="1" applyFill="1" applyBorder="1" applyAlignment="1">
      <alignment horizontal="center" vertical="center"/>
    </xf>
    <xf numFmtId="0" fontId="42" fillId="0" borderId="8" xfId="0" applyFont="1" applyFill="1" applyBorder="1" applyAlignment="1">
      <alignment horizontal="center" vertical="center" wrapText="1"/>
    </xf>
    <xf numFmtId="0" fontId="36" fillId="0" borderId="0" xfId="0" applyFont="1" applyBorder="1" applyAlignment="1">
      <alignment vertical="center" wrapText="1"/>
    </xf>
    <xf numFmtId="0" fontId="36" fillId="0" borderId="0" xfId="0" applyFont="1" applyBorder="1" applyAlignment="1">
      <alignment horizontal="center" vertical="center" wrapText="1"/>
    </xf>
    <xf numFmtId="0" fontId="36" fillId="0" borderId="0" xfId="0" applyFont="1" applyBorder="1" applyAlignment="1">
      <alignment horizontal="right" vertical="center" wrapText="1"/>
    </xf>
    <xf numFmtId="0" fontId="38" fillId="0" borderId="0" xfId="0" applyFont="1" applyBorder="1" applyAlignment="1">
      <alignment horizontal="right" vertical="center" wrapText="1"/>
    </xf>
    <xf numFmtId="0" fontId="4" fillId="0" borderId="0" xfId="0" applyFont="1" applyFill="1" applyBorder="1" applyAlignment="1">
      <alignment horizontal="justify" vertical="center" wrapText="1"/>
    </xf>
    <xf numFmtId="49" fontId="4" fillId="0" borderId="0" xfId="0" applyNumberFormat="1" applyFont="1" applyFill="1" applyBorder="1" applyAlignment="1">
      <alignment horizontal="center" vertical="center" wrapText="1"/>
    </xf>
    <xf numFmtId="0" fontId="0" fillId="0" borderId="0" xfId="0" applyFill="1" applyBorder="1"/>
    <xf numFmtId="0" fontId="42" fillId="0" borderId="0" xfId="0" applyFont="1" applyFill="1" applyBorder="1" applyAlignment="1">
      <alignment horizontal="center" vertical="center" wrapText="1"/>
    </xf>
    <xf numFmtId="0" fontId="6" fillId="0" borderId="13" xfId="0" applyFont="1" applyBorder="1" applyAlignment="1">
      <alignment vertical="center" wrapText="1"/>
    </xf>
    <xf numFmtId="0" fontId="6" fillId="7" borderId="13" xfId="0" applyFont="1" applyFill="1" applyBorder="1" applyAlignment="1">
      <alignment horizontal="center" vertical="center" wrapText="1"/>
    </xf>
    <xf numFmtId="0" fontId="6" fillId="7" borderId="13" xfId="0" applyFont="1" applyFill="1" applyBorder="1" applyAlignment="1">
      <alignment vertical="center" wrapText="1"/>
    </xf>
    <xf numFmtId="0" fontId="6" fillId="3" borderId="13" xfId="0" applyFont="1" applyFill="1" applyBorder="1" applyAlignment="1">
      <alignment horizontal="left" vertical="center"/>
    </xf>
    <xf numFmtId="0" fontId="6" fillId="7" borderId="13" xfId="0" applyFont="1" applyFill="1" applyBorder="1" applyAlignment="1">
      <alignment vertical="center"/>
    </xf>
    <xf numFmtId="0" fontId="11" fillId="0" borderId="0" xfId="0" applyFont="1" applyAlignment="1">
      <alignment horizontal="center"/>
    </xf>
    <xf numFmtId="0" fontId="32" fillId="0" borderId="0" xfId="0" applyFont="1" applyAlignment="1">
      <alignment horizontal="left" wrapText="1"/>
    </xf>
    <xf numFmtId="0" fontId="32" fillId="0" borderId="9" xfId="0" applyFont="1" applyBorder="1" applyAlignment="1">
      <alignment horizontal="left" wrapText="1"/>
    </xf>
    <xf numFmtId="0" fontId="13" fillId="0" borderId="10" xfId="0" applyFont="1" applyBorder="1" applyAlignment="1">
      <alignment horizontal="left"/>
    </xf>
    <xf numFmtId="0" fontId="13" fillId="0" borderId="9" xfId="0" applyFont="1" applyBorder="1" applyAlignment="1">
      <alignment horizontal="left"/>
    </xf>
    <xf numFmtId="0" fontId="15" fillId="0" borderId="11" xfId="0" applyFont="1" applyBorder="1" applyAlignment="1">
      <alignment horizontal="left" wrapText="1"/>
    </xf>
    <xf numFmtId="0" fontId="15" fillId="0" borderId="9" xfId="0" applyFont="1" applyBorder="1" applyAlignment="1">
      <alignment horizontal="left" wrapText="1"/>
    </xf>
    <xf numFmtId="0" fontId="32" fillId="0" borderId="11" xfId="0" applyFont="1" applyBorder="1" applyAlignment="1">
      <alignment wrapText="1"/>
    </xf>
    <xf numFmtId="0" fontId="32" fillId="0" borderId="0" xfId="0" applyFont="1" applyAlignment="1">
      <alignment wrapText="1"/>
    </xf>
    <xf numFmtId="0" fontId="33" fillId="0" borderId="11" xfId="0" applyFont="1" applyBorder="1" applyAlignment="1">
      <alignment wrapText="1"/>
    </xf>
    <xf numFmtId="0" fontId="33"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hyperlink" Target="mailto:Vidar.Lien@hi.no" TargetMode="External"/><Relationship Id="rId7" Type="http://schemas.openxmlformats.org/officeDocument/2006/relationships/hyperlink" Target="mailto:larkin.sinvula@mfmr.gov.na" TargetMode="External"/><Relationship Id="rId2" Type="http://schemas.openxmlformats.org/officeDocument/2006/relationships/hyperlink" Target="mailto:sara.zamora.terol@hi.no" TargetMode="External"/><Relationship Id="rId1" Type="http://schemas.openxmlformats.org/officeDocument/2006/relationships/hyperlink" Target="mailto:Sarah.Bruck@hi.no" TargetMode="External"/><Relationship Id="rId6" Type="http://schemas.openxmlformats.org/officeDocument/2006/relationships/hyperlink" Target="mailto:benjamim.marum@hi.no" TargetMode="External"/><Relationship Id="rId5" Type="http://schemas.openxmlformats.org/officeDocument/2006/relationships/hyperlink" Target="mailto:kathrine@hi.no" TargetMode="External"/><Relationship Id="rId4" Type="http://schemas.openxmlformats.org/officeDocument/2006/relationships/hyperlink" Target="mailto:eriko@hi.no"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hyperlink" Target="mailto:%3cdavid.cervantes@hi.no"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mailto:%3cdavid.cervantes@hi.no"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9"/>
  <sheetViews>
    <sheetView workbookViewId="0">
      <selection activeCell="A8" sqref="A8"/>
    </sheetView>
  </sheetViews>
  <sheetFormatPr defaultColWidth="8.85546875" defaultRowHeight="15" x14ac:dyDescent="0.25"/>
  <cols>
    <col min="1" max="1" width="26.85546875" bestFit="1" customWidth="1"/>
    <col min="2" max="2" width="235.42578125" bestFit="1" customWidth="1"/>
  </cols>
  <sheetData>
    <row r="1" spans="1:2" x14ac:dyDescent="0.25">
      <c r="A1" s="7" t="s">
        <v>0</v>
      </c>
      <c r="B1" s="7" t="s">
        <v>1</v>
      </c>
    </row>
    <row r="2" spans="1:2" x14ac:dyDescent="0.25">
      <c r="A2" s="8" t="s">
        <v>2</v>
      </c>
      <c r="B2" s="8" t="s">
        <v>3</v>
      </c>
    </row>
    <row r="3" spans="1:2" x14ac:dyDescent="0.25">
      <c r="A3" s="8" t="s">
        <v>4</v>
      </c>
      <c r="B3" s="8" t="s">
        <v>5</v>
      </c>
    </row>
    <row r="4" spans="1:2" s="57" customFormat="1" ht="15.75" x14ac:dyDescent="0.25">
      <c r="A4" s="116" t="s">
        <v>6</v>
      </c>
      <c r="B4" s="115" t="s">
        <v>7</v>
      </c>
    </row>
    <row r="5" spans="1:2" ht="15.75" x14ac:dyDescent="0.25">
      <c r="A5" s="8" t="s">
        <v>8</v>
      </c>
      <c r="B5" s="10" t="s">
        <v>9</v>
      </c>
    </row>
    <row r="6" spans="1:2" x14ac:dyDescent="0.25">
      <c r="A6" s="8" t="s">
        <v>10</v>
      </c>
      <c r="B6" s="8" t="s">
        <v>11</v>
      </c>
    </row>
    <row r="7" spans="1:2" x14ac:dyDescent="0.25">
      <c r="A7" s="115" t="s">
        <v>503</v>
      </c>
      <c r="B7" s="8" t="s">
        <v>12</v>
      </c>
    </row>
    <row r="8" spans="1:2" x14ac:dyDescent="0.25">
      <c r="A8" s="115" t="s">
        <v>502</v>
      </c>
      <c r="B8" s="8" t="s">
        <v>13</v>
      </c>
    </row>
    <row r="9" spans="1:2" ht="15.75" x14ac:dyDescent="0.25">
      <c r="A9" s="8" t="s">
        <v>14</v>
      </c>
      <c r="B9" s="10" t="s">
        <v>15</v>
      </c>
    </row>
    <row r="10" spans="1:2" ht="15.75" x14ac:dyDescent="0.25">
      <c r="A10" s="10" t="s">
        <v>16</v>
      </c>
      <c r="B10" s="8" t="s">
        <v>17</v>
      </c>
    </row>
    <row r="11" spans="1:2" x14ac:dyDescent="0.25">
      <c r="A11" s="8" t="s">
        <v>18</v>
      </c>
      <c r="B11" s="8" t="s">
        <v>501</v>
      </c>
    </row>
    <row r="12" spans="1:2" x14ac:dyDescent="0.25">
      <c r="A12" t="s">
        <v>19</v>
      </c>
      <c r="B12" s="8" t="s">
        <v>20</v>
      </c>
    </row>
    <row r="13" spans="1:2" ht="15.75" x14ac:dyDescent="0.25">
      <c r="A13" s="10" t="s">
        <v>21</v>
      </c>
      <c r="B13" s="8" t="s">
        <v>22</v>
      </c>
    </row>
    <row r="14" spans="1:2" x14ac:dyDescent="0.25">
      <c r="A14" t="s">
        <v>23</v>
      </c>
      <c r="B14" t="s">
        <v>24</v>
      </c>
    </row>
    <row r="15" spans="1:2" x14ac:dyDescent="0.25">
      <c r="A15" t="s">
        <v>25</v>
      </c>
      <c r="B15" t="s">
        <v>26</v>
      </c>
    </row>
    <row r="16" spans="1:2" x14ac:dyDescent="0.25">
      <c r="A16" t="s">
        <v>504</v>
      </c>
      <c r="B16" s="8" t="s">
        <v>505</v>
      </c>
    </row>
    <row r="17" spans="1:2" x14ac:dyDescent="0.25">
      <c r="A17" t="s">
        <v>509</v>
      </c>
      <c r="B17" t="s">
        <v>510</v>
      </c>
    </row>
    <row r="18" spans="1:2" x14ac:dyDescent="0.25">
      <c r="A18" t="s">
        <v>535</v>
      </c>
      <c r="B18" t="s">
        <v>536</v>
      </c>
    </row>
    <row r="19" spans="1:2" x14ac:dyDescent="0.25">
      <c r="A19" t="s">
        <v>590</v>
      </c>
      <c r="B19" t="s">
        <v>591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workbookViewId="0">
      <selection activeCell="A16" sqref="A16"/>
    </sheetView>
  </sheetViews>
  <sheetFormatPr defaultColWidth="8.85546875" defaultRowHeight="15" x14ac:dyDescent="0.25"/>
  <cols>
    <col min="1" max="1" width="27.28515625" style="122" bestFit="1" customWidth="1"/>
    <col min="2" max="2" width="235.42578125" style="122" bestFit="1" customWidth="1"/>
  </cols>
  <sheetData>
    <row r="1" spans="1:2" x14ac:dyDescent="0.25">
      <c r="A1" s="1" t="s">
        <v>27</v>
      </c>
      <c r="B1" s="1" t="s">
        <v>1</v>
      </c>
    </row>
    <row r="2" spans="1:2" x14ac:dyDescent="0.25">
      <c r="A2" s="122" t="s">
        <v>28</v>
      </c>
      <c r="B2" s="8" t="s">
        <v>498</v>
      </c>
    </row>
    <row r="3" spans="1:2" ht="15.75" x14ac:dyDescent="0.25">
      <c r="A3" s="122" t="s">
        <v>29</v>
      </c>
      <c r="B3" s="6" t="s">
        <v>30</v>
      </c>
    </row>
    <row r="4" spans="1:2" x14ac:dyDescent="0.25">
      <c r="A4" s="122" t="s">
        <v>31</v>
      </c>
      <c r="B4" s="122" t="s">
        <v>32</v>
      </c>
    </row>
    <row r="5" spans="1:2" x14ac:dyDescent="0.25">
      <c r="A5" s="122" t="s">
        <v>33</v>
      </c>
      <c r="B5" s="122" t="s">
        <v>34</v>
      </c>
    </row>
    <row r="6" spans="1:2" ht="15.75" x14ac:dyDescent="0.25">
      <c r="A6" s="122" t="s">
        <v>35</v>
      </c>
      <c r="B6" s="10" t="s">
        <v>36</v>
      </c>
    </row>
    <row r="7" spans="1:2" ht="15.75" x14ac:dyDescent="0.25">
      <c r="A7" s="8" t="s">
        <v>37</v>
      </c>
      <c r="B7" s="6" t="s">
        <v>38</v>
      </c>
    </row>
    <row r="8" spans="1:2" ht="15.75" x14ac:dyDescent="0.25">
      <c r="A8" s="122" t="s">
        <v>39</v>
      </c>
      <c r="B8" s="6" t="s">
        <v>40</v>
      </c>
    </row>
    <row r="9" spans="1:2" ht="15.75" x14ac:dyDescent="0.25">
      <c r="A9" s="122" t="s">
        <v>41</v>
      </c>
      <c r="B9" s="6" t="s">
        <v>42</v>
      </c>
    </row>
    <row r="10" spans="1:2" ht="15.75" x14ac:dyDescent="0.25">
      <c r="A10" s="122" t="s">
        <v>43</v>
      </c>
      <c r="B10" s="123" t="s">
        <v>44</v>
      </c>
    </row>
    <row r="11" spans="1:2" ht="15.75" x14ac:dyDescent="0.25">
      <c r="A11" s="122" t="s">
        <v>45</v>
      </c>
      <c r="B11" s="6" t="s">
        <v>46</v>
      </c>
    </row>
    <row r="12" spans="1:2" ht="15.75" x14ac:dyDescent="0.25">
      <c r="A12" s="122" t="s">
        <v>47</v>
      </c>
      <c r="B12" s="6" t="s">
        <v>48</v>
      </c>
    </row>
    <row r="13" spans="1:2" ht="15.75" x14ac:dyDescent="0.25">
      <c r="A13" s="122" t="s">
        <v>49</v>
      </c>
      <c r="B13" s="6" t="s">
        <v>50</v>
      </c>
    </row>
    <row r="14" spans="1:2" ht="15.75" x14ac:dyDescent="0.25">
      <c r="A14" s="122" t="s">
        <v>51</v>
      </c>
      <c r="B14" s="123" t="s">
        <v>52</v>
      </c>
    </row>
    <row r="15" spans="1:2" ht="15.75" x14ac:dyDescent="0.25">
      <c r="A15" s="122" t="s">
        <v>53</v>
      </c>
      <c r="B15" s="123" t="s">
        <v>533</v>
      </c>
    </row>
    <row r="16" spans="1:2" x14ac:dyDescent="0.25">
      <c r="A16" s="122" t="s">
        <v>532</v>
      </c>
      <c r="B16" s="122" t="s">
        <v>534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
  <sheetViews>
    <sheetView workbookViewId="0">
      <selection activeCell="F12" sqref="F12"/>
    </sheetView>
  </sheetViews>
  <sheetFormatPr defaultColWidth="8.85546875" defaultRowHeight="15" x14ac:dyDescent="0.25"/>
  <cols>
    <col min="1" max="1" width="34" customWidth="1"/>
    <col min="2" max="2" width="15.42578125" bestFit="1" customWidth="1"/>
    <col min="3" max="4" width="12.7109375" customWidth="1"/>
    <col min="5" max="5" width="16.42578125" bestFit="1" customWidth="1"/>
    <col min="6" max="6" width="18.42578125" customWidth="1"/>
  </cols>
  <sheetData>
    <row r="1" spans="1:6" x14ac:dyDescent="0.25">
      <c r="A1" s="7" t="s">
        <v>54</v>
      </c>
      <c r="B1" s="7" t="s">
        <v>55</v>
      </c>
      <c r="C1" s="7" t="s">
        <v>56</v>
      </c>
      <c r="D1" s="7" t="s">
        <v>57</v>
      </c>
      <c r="E1" s="7" t="s">
        <v>58</v>
      </c>
      <c r="F1" s="7" t="s">
        <v>59</v>
      </c>
    </row>
    <row r="2" spans="1:6" ht="30" x14ac:dyDescent="0.25">
      <c r="A2" s="41" t="s">
        <v>60</v>
      </c>
      <c r="B2" s="9">
        <v>29</v>
      </c>
      <c r="C2" s="42" t="s">
        <v>61</v>
      </c>
      <c r="D2" s="42" t="s">
        <v>62</v>
      </c>
      <c r="E2" s="43" t="s">
        <v>63</v>
      </c>
      <c r="F2" s="43" t="s">
        <v>63</v>
      </c>
    </row>
    <row r="3" spans="1:6" ht="45" x14ac:dyDescent="0.25">
      <c r="A3" s="44" t="s">
        <v>64</v>
      </c>
      <c r="B3" s="9">
        <v>31</v>
      </c>
      <c r="C3" s="42" t="s">
        <v>65</v>
      </c>
      <c r="D3" s="42" t="s">
        <v>66</v>
      </c>
      <c r="E3" s="43" t="s">
        <v>63</v>
      </c>
      <c r="F3" s="43" t="s">
        <v>63</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3"/>
  <sheetViews>
    <sheetView tabSelected="1" workbookViewId="0">
      <selection activeCell="B11" sqref="B11"/>
    </sheetView>
  </sheetViews>
  <sheetFormatPr defaultColWidth="8.85546875" defaultRowHeight="15" x14ac:dyDescent="0.25"/>
  <cols>
    <col min="1" max="1" width="6.42578125" bestFit="1" customWidth="1"/>
    <col min="2" max="2" width="27.140625" bestFit="1" customWidth="1"/>
    <col min="3" max="3" width="14.85546875" customWidth="1"/>
    <col min="4" max="4" width="14.140625" bestFit="1" customWidth="1"/>
    <col min="5" max="5" width="19" customWidth="1"/>
    <col min="6" max="6" width="23.5703125" customWidth="1"/>
    <col min="7" max="7" width="8.7109375" customWidth="1"/>
    <col min="11" max="11" width="17.42578125" customWidth="1"/>
    <col min="12" max="12" width="11.85546875" customWidth="1"/>
  </cols>
  <sheetData>
    <row r="1" spans="1:13" x14ac:dyDescent="0.25">
      <c r="A1" s="7" t="s">
        <v>67</v>
      </c>
      <c r="B1" s="7" t="s">
        <v>68</v>
      </c>
      <c r="C1" s="7" t="s">
        <v>69</v>
      </c>
      <c r="D1" s="7" t="s">
        <v>70</v>
      </c>
      <c r="E1" s="7" t="s">
        <v>71</v>
      </c>
      <c r="F1" s="7" t="s">
        <v>72</v>
      </c>
      <c r="G1" s="7" t="s">
        <v>73</v>
      </c>
      <c r="H1" s="7" t="s">
        <v>74</v>
      </c>
      <c r="I1" s="7" t="s">
        <v>75</v>
      </c>
      <c r="J1" s="7" t="s">
        <v>76</v>
      </c>
      <c r="K1" s="7" t="s">
        <v>77</v>
      </c>
      <c r="L1" s="7" t="s">
        <v>78</v>
      </c>
      <c r="M1" s="7" t="s">
        <v>79</v>
      </c>
    </row>
    <row r="2" spans="1:13" x14ac:dyDescent="0.25">
      <c r="A2" s="8" t="s">
        <v>80</v>
      </c>
      <c r="B2" s="8" t="s">
        <v>81</v>
      </c>
      <c r="C2" s="46">
        <v>1</v>
      </c>
      <c r="D2" s="45">
        <v>1</v>
      </c>
      <c r="E2" s="8">
        <v>1</v>
      </c>
      <c r="F2" s="56" t="str">
        <f>IF(D2&gt;0, IF(D2-E2=0,"",D2-E2), IF(E2&gt;0,E2,""))</f>
        <v/>
      </c>
      <c r="G2" s="8"/>
      <c r="H2" s="8"/>
      <c r="I2" s="8"/>
      <c r="J2" s="8"/>
      <c r="K2" s="56" t="str">
        <f t="shared" ref="K2:K10" si="0">IF(SUM(G2:J2)=0,"",SUM(G2:J2))</f>
        <v/>
      </c>
      <c r="L2" s="56" t="str">
        <f t="shared" ref="L2:L10" si="1">IF(C2=D2,"",IF(K2="", "", C2-(D2+K2)))</f>
        <v/>
      </c>
    </row>
    <row r="3" spans="1:13" x14ac:dyDescent="0.25">
      <c r="A3" s="8" t="s">
        <v>80</v>
      </c>
      <c r="B3" s="8" t="s">
        <v>82</v>
      </c>
      <c r="C3" s="46">
        <v>1</v>
      </c>
      <c r="D3" s="45">
        <v>1</v>
      </c>
      <c r="E3" s="8"/>
      <c r="F3" s="56">
        <f>IF(D3&gt;0, IF(D3-E3=0,"",D3-E3), IF(E3&gt;0,E3,""))</f>
        <v>1</v>
      </c>
      <c r="G3" s="8">
        <v>1</v>
      </c>
      <c r="H3" s="8"/>
      <c r="I3" s="8"/>
      <c r="J3" s="8"/>
      <c r="K3" s="56">
        <f t="shared" si="0"/>
        <v>1</v>
      </c>
      <c r="L3" s="56" t="str">
        <f t="shared" si="1"/>
        <v/>
      </c>
    </row>
    <row r="4" spans="1:13" x14ac:dyDescent="0.25">
      <c r="A4" s="8" t="s">
        <v>80</v>
      </c>
      <c r="B4" s="8" t="s">
        <v>83</v>
      </c>
      <c r="C4" s="46">
        <v>5</v>
      </c>
      <c r="D4" s="45">
        <v>1</v>
      </c>
      <c r="E4" s="8"/>
      <c r="F4" s="56">
        <f t="shared" ref="F4:F10" si="2">IF(D4&gt;0, IF(D4-E4=0,"",D4-E4), IF(E4&gt;0,E4,""))</f>
        <v>1</v>
      </c>
      <c r="G4" s="8">
        <v>2</v>
      </c>
      <c r="H4" s="8">
        <v>1</v>
      </c>
      <c r="I4" s="8"/>
      <c r="J4" s="8">
        <v>1</v>
      </c>
      <c r="K4" s="56">
        <f t="shared" si="0"/>
        <v>4</v>
      </c>
      <c r="L4" s="56">
        <f>IF(C4=D4,"",IF(K4="", "", C4-(D4+K4)))</f>
        <v>0</v>
      </c>
    </row>
    <row r="5" spans="1:13" x14ac:dyDescent="0.25">
      <c r="A5" s="8" t="s">
        <v>80</v>
      </c>
      <c r="B5" s="8" t="s">
        <v>84</v>
      </c>
      <c r="C5" s="46">
        <v>1</v>
      </c>
      <c r="D5" s="45">
        <v>1</v>
      </c>
      <c r="E5" s="8">
        <v>1</v>
      </c>
      <c r="F5" s="56" t="str">
        <f t="shared" si="2"/>
        <v/>
      </c>
      <c r="G5" s="8">
        <v>1</v>
      </c>
      <c r="H5" s="8"/>
      <c r="I5" s="8"/>
      <c r="J5" s="8"/>
      <c r="K5" s="56">
        <f t="shared" si="0"/>
        <v>1</v>
      </c>
      <c r="L5" s="56" t="str">
        <f t="shared" si="1"/>
        <v/>
      </c>
    </row>
    <row r="6" spans="1:13" x14ac:dyDescent="0.25">
      <c r="A6" s="8" t="s">
        <v>80</v>
      </c>
      <c r="B6" s="8" t="s">
        <v>85</v>
      </c>
      <c r="C6" s="46">
        <v>5</v>
      </c>
      <c r="D6" s="45">
        <v>1</v>
      </c>
      <c r="E6" s="8">
        <v>1</v>
      </c>
      <c r="F6" s="56" t="str">
        <f t="shared" si="2"/>
        <v/>
      </c>
      <c r="G6" s="8">
        <v>2</v>
      </c>
      <c r="H6" s="8">
        <v>2</v>
      </c>
      <c r="I6" s="8"/>
      <c r="J6" s="8"/>
      <c r="K6" s="56">
        <f t="shared" si="0"/>
        <v>4</v>
      </c>
      <c r="L6" s="56">
        <f t="shared" si="1"/>
        <v>0</v>
      </c>
    </row>
    <row r="7" spans="1:13" x14ac:dyDescent="0.25">
      <c r="A7" s="8" t="s">
        <v>80</v>
      </c>
      <c r="B7" s="8" t="s">
        <v>86</v>
      </c>
      <c r="C7" s="46">
        <v>10</v>
      </c>
      <c r="D7" s="45">
        <v>2</v>
      </c>
      <c r="E7" s="8">
        <v>2</v>
      </c>
      <c r="F7" s="56" t="str">
        <f t="shared" si="2"/>
        <v/>
      </c>
      <c r="G7" s="8">
        <v>3</v>
      </c>
      <c r="H7" s="8">
        <v>3</v>
      </c>
      <c r="I7" s="8"/>
      <c r="J7" s="8"/>
      <c r="K7" s="56">
        <f>IF(SUM(G7:J7)=0,"",SUM(G7:J7))</f>
        <v>6</v>
      </c>
      <c r="L7" s="56">
        <f t="shared" si="1"/>
        <v>2</v>
      </c>
    </row>
    <row r="8" spans="1:13" x14ac:dyDescent="0.25">
      <c r="A8" s="8" t="s">
        <v>80</v>
      </c>
      <c r="B8" s="8" t="s">
        <v>87</v>
      </c>
      <c r="C8" s="46">
        <v>0</v>
      </c>
      <c r="D8" s="45">
        <v>0</v>
      </c>
      <c r="E8" s="8"/>
      <c r="F8" s="56" t="str">
        <f t="shared" si="2"/>
        <v/>
      </c>
      <c r="G8" s="8"/>
      <c r="H8" s="8"/>
      <c r="I8" s="8"/>
      <c r="J8" s="8"/>
      <c r="K8" s="56" t="str">
        <f t="shared" si="0"/>
        <v/>
      </c>
      <c r="L8" s="56" t="str">
        <f t="shared" si="1"/>
        <v/>
      </c>
    </row>
    <row r="9" spans="1:13" x14ac:dyDescent="0.25">
      <c r="A9" s="8" t="s">
        <v>80</v>
      </c>
      <c r="B9" s="8" t="s">
        <v>88</v>
      </c>
      <c r="C9" s="46">
        <v>2</v>
      </c>
      <c r="D9" s="45">
        <v>2</v>
      </c>
      <c r="E9" s="8">
        <v>2</v>
      </c>
      <c r="F9" s="56" t="str">
        <f t="shared" si="2"/>
        <v/>
      </c>
      <c r="G9" s="8"/>
      <c r="H9" s="8"/>
      <c r="I9" s="8"/>
      <c r="J9" s="8"/>
      <c r="K9" s="56" t="str">
        <f t="shared" si="0"/>
        <v/>
      </c>
      <c r="L9" s="56" t="str">
        <f t="shared" si="1"/>
        <v/>
      </c>
    </row>
    <row r="10" spans="1:13" x14ac:dyDescent="0.25">
      <c r="A10" s="8" t="s">
        <v>80</v>
      </c>
      <c r="B10" s="8" t="s">
        <v>147</v>
      </c>
      <c r="C10" s="45">
        <v>0</v>
      </c>
      <c r="D10" s="45">
        <v>0</v>
      </c>
      <c r="E10" s="8">
        <v>0</v>
      </c>
      <c r="F10" s="56" t="str">
        <f t="shared" si="2"/>
        <v/>
      </c>
      <c r="G10" s="8"/>
      <c r="H10" s="8"/>
      <c r="I10" s="8">
        <v>2</v>
      </c>
      <c r="J10" s="8"/>
      <c r="K10" s="56">
        <f t="shared" si="0"/>
        <v>2</v>
      </c>
      <c r="L10" s="56" t="str">
        <f t="shared" si="1"/>
        <v/>
      </c>
      <c r="M10" s="1">
        <f>SUM(E2:E10)+SUM(K2:K10)</f>
        <v>25</v>
      </c>
    </row>
    <row r="11" spans="1:13" x14ac:dyDescent="0.25">
      <c r="A11" s="8"/>
      <c r="B11" s="8" t="s">
        <v>89</v>
      </c>
      <c r="C11" s="55">
        <f>SUM(C2:C10)</f>
        <v>25</v>
      </c>
      <c r="D11" s="55">
        <f t="shared" ref="D11:L11" si="3">SUM(D2:D10)</f>
        <v>9</v>
      </c>
      <c r="E11" s="55">
        <f t="shared" si="3"/>
        <v>7</v>
      </c>
      <c r="F11" s="55">
        <f t="shared" si="3"/>
        <v>2</v>
      </c>
      <c r="G11" s="55">
        <f t="shared" si="3"/>
        <v>9</v>
      </c>
      <c r="H11" s="55">
        <f t="shared" si="3"/>
        <v>6</v>
      </c>
      <c r="I11" s="55">
        <f t="shared" si="3"/>
        <v>2</v>
      </c>
      <c r="J11" s="55">
        <f t="shared" si="3"/>
        <v>1</v>
      </c>
      <c r="K11" s="55">
        <f t="shared" si="3"/>
        <v>18</v>
      </c>
      <c r="L11" s="55">
        <f t="shared" si="3"/>
        <v>2</v>
      </c>
      <c r="M11" s="55"/>
    </row>
    <row r="12" spans="1:13" x14ac:dyDescent="0.25">
      <c r="A12" s="8"/>
      <c r="B12" s="8"/>
      <c r="C12" s="8"/>
      <c r="D12" s="8"/>
      <c r="E12" s="8"/>
      <c r="F12" s="8"/>
      <c r="G12" s="8"/>
      <c r="H12" s="8"/>
      <c r="I12" s="8"/>
      <c r="J12" s="8"/>
      <c r="K12" s="8"/>
      <c r="L12" s="8"/>
      <c r="M12" s="8"/>
    </row>
    <row r="13" spans="1:13" x14ac:dyDescent="0.25">
      <c r="A13" s="8" t="s">
        <v>90</v>
      </c>
      <c r="B13" s="8" t="s">
        <v>81</v>
      </c>
      <c r="C13" s="46">
        <v>1</v>
      </c>
      <c r="D13" s="45">
        <v>1</v>
      </c>
      <c r="E13" s="45">
        <v>1</v>
      </c>
      <c r="F13" s="46"/>
      <c r="G13" s="8"/>
      <c r="H13" s="8"/>
      <c r="I13" s="8"/>
      <c r="J13" s="8"/>
      <c r="K13" s="56" t="str">
        <f t="shared" ref="K13:K17" si="4">IF(SUM(G13:J13)=0,"",SUM(G13:J13))</f>
        <v/>
      </c>
      <c r="L13" s="56" t="str">
        <f t="shared" ref="L13:L14" si="5">IF(C13=D13,"",IF(K13="", "", C13-(D13+K13)))</f>
        <v/>
      </c>
      <c r="M13" s="8"/>
    </row>
    <row r="14" spans="1:13" x14ac:dyDescent="0.25">
      <c r="A14" s="8" t="s">
        <v>90</v>
      </c>
      <c r="B14" s="8" t="s">
        <v>82</v>
      </c>
      <c r="C14" s="46">
        <v>1</v>
      </c>
      <c r="D14" s="45">
        <v>1</v>
      </c>
      <c r="E14" s="45"/>
      <c r="F14" s="46">
        <v>1</v>
      </c>
      <c r="G14" s="8"/>
      <c r="H14" s="8">
        <v>1</v>
      </c>
      <c r="I14" s="8"/>
      <c r="J14" s="8"/>
      <c r="K14" s="56">
        <f t="shared" si="4"/>
        <v>1</v>
      </c>
      <c r="L14" s="56" t="str">
        <f t="shared" si="5"/>
        <v/>
      </c>
      <c r="M14">
        <f t="shared" ref="M14:M19" si="6">SUM(G14:J14)</f>
        <v>1</v>
      </c>
    </row>
    <row r="15" spans="1:13" x14ac:dyDescent="0.25">
      <c r="A15" s="8" t="s">
        <v>90</v>
      </c>
      <c r="B15" s="8" t="s">
        <v>83</v>
      </c>
      <c r="C15" s="46">
        <v>4</v>
      </c>
      <c r="D15" s="45">
        <v>1</v>
      </c>
      <c r="E15" s="45">
        <v>1</v>
      </c>
      <c r="F15" s="46"/>
      <c r="G15" s="8">
        <v>1</v>
      </c>
      <c r="H15" s="8">
        <v>2</v>
      </c>
      <c r="I15" s="8"/>
      <c r="J15" s="8"/>
      <c r="K15" s="56">
        <f t="shared" si="4"/>
        <v>3</v>
      </c>
      <c r="L15" s="56">
        <f>IF(C15=D15,"",IF(K15="", "", C15-(D15+K15)))</f>
        <v>0</v>
      </c>
      <c r="M15">
        <f t="shared" si="6"/>
        <v>3</v>
      </c>
    </row>
    <row r="16" spans="1:13" x14ac:dyDescent="0.25">
      <c r="A16" s="8" t="s">
        <v>90</v>
      </c>
      <c r="B16" s="8" t="s">
        <v>84</v>
      </c>
      <c r="C16" s="46">
        <v>1</v>
      </c>
      <c r="D16" s="45">
        <v>1</v>
      </c>
      <c r="E16" s="45">
        <v>1</v>
      </c>
      <c r="F16" s="46"/>
      <c r="G16" s="8"/>
      <c r="H16" s="8">
        <v>1</v>
      </c>
      <c r="I16" s="8"/>
      <c r="J16" s="8"/>
      <c r="K16" s="56">
        <f t="shared" si="4"/>
        <v>1</v>
      </c>
      <c r="L16" s="56" t="str">
        <f t="shared" ref="L16:L21" si="7">IF(C16=D16,"",IF(K16="", "", C16-(D16+K16)))</f>
        <v/>
      </c>
      <c r="M16">
        <f t="shared" si="6"/>
        <v>1</v>
      </c>
    </row>
    <row r="17" spans="1:13" x14ac:dyDescent="0.25">
      <c r="A17" s="8" t="s">
        <v>90</v>
      </c>
      <c r="B17" s="8" t="s">
        <v>85</v>
      </c>
      <c r="C17" s="46">
        <v>5</v>
      </c>
      <c r="D17" s="45">
        <v>1</v>
      </c>
      <c r="E17" s="45">
        <v>1</v>
      </c>
      <c r="F17" s="46"/>
      <c r="G17" s="8">
        <v>1</v>
      </c>
      <c r="H17" s="8">
        <v>3</v>
      </c>
      <c r="I17" s="8"/>
      <c r="J17" s="8"/>
      <c r="K17" s="56">
        <f t="shared" si="4"/>
        <v>4</v>
      </c>
      <c r="L17" s="56">
        <f t="shared" si="7"/>
        <v>0</v>
      </c>
      <c r="M17">
        <f t="shared" si="6"/>
        <v>4</v>
      </c>
    </row>
    <row r="18" spans="1:13" x14ac:dyDescent="0.25">
      <c r="A18" s="8" t="s">
        <v>90</v>
      </c>
      <c r="B18" s="8" t="s">
        <v>86</v>
      </c>
      <c r="C18" s="46">
        <v>10</v>
      </c>
      <c r="D18" s="45">
        <v>2</v>
      </c>
      <c r="E18" s="45">
        <v>2</v>
      </c>
      <c r="F18" s="46"/>
      <c r="G18" s="8">
        <v>2</v>
      </c>
      <c r="H18" s="8">
        <v>2</v>
      </c>
      <c r="I18" s="8">
        <v>2</v>
      </c>
      <c r="J18" s="8"/>
      <c r="K18" s="56">
        <f>IF(SUM(G18:J18)=0,"",SUM(G18:J18))</f>
        <v>6</v>
      </c>
      <c r="L18" s="56">
        <f t="shared" si="7"/>
        <v>2</v>
      </c>
      <c r="M18">
        <f t="shared" si="6"/>
        <v>6</v>
      </c>
    </row>
    <row r="19" spans="1:13" x14ac:dyDescent="0.25">
      <c r="A19" s="8" t="s">
        <v>90</v>
      </c>
      <c r="B19" s="8" t="s">
        <v>87</v>
      </c>
      <c r="C19" s="46">
        <v>0</v>
      </c>
      <c r="D19" s="45"/>
      <c r="E19" s="45"/>
      <c r="F19" s="46"/>
      <c r="G19" s="8"/>
      <c r="H19" s="8"/>
      <c r="I19" s="8"/>
      <c r="J19" s="8"/>
      <c r="K19" s="56" t="str">
        <f t="shared" ref="K19:K22" si="8">IF(SUM(G19:J19)=0,"",SUM(G19:J19))</f>
        <v/>
      </c>
      <c r="L19" s="56" t="str">
        <f t="shared" si="7"/>
        <v/>
      </c>
      <c r="M19">
        <f t="shared" si="6"/>
        <v>0</v>
      </c>
    </row>
    <row r="20" spans="1:13" x14ac:dyDescent="0.25">
      <c r="A20" s="8" t="s">
        <v>90</v>
      </c>
      <c r="B20" s="8" t="s">
        <v>88</v>
      </c>
      <c r="C20" s="46">
        <v>2</v>
      </c>
      <c r="D20" s="45">
        <v>2</v>
      </c>
      <c r="E20" s="45">
        <v>2</v>
      </c>
      <c r="F20" s="46"/>
      <c r="G20" s="8"/>
      <c r="H20" s="8"/>
      <c r="I20" s="8"/>
      <c r="J20" s="8"/>
      <c r="K20" s="56" t="str">
        <f t="shared" si="8"/>
        <v/>
      </c>
      <c r="L20" s="56" t="str">
        <f t="shared" si="7"/>
        <v/>
      </c>
    </row>
    <row r="21" spans="1:13" x14ac:dyDescent="0.25">
      <c r="A21" s="8" t="s">
        <v>90</v>
      </c>
      <c r="B21" s="8" t="s">
        <v>147</v>
      </c>
      <c r="C21" s="45">
        <v>2</v>
      </c>
      <c r="D21" s="45">
        <v>2</v>
      </c>
      <c r="E21" s="45">
        <v>2</v>
      </c>
      <c r="F21" s="46"/>
      <c r="G21" s="8"/>
      <c r="H21" s="8"/>
      <c r="I21" s="8">
        <v>1</v>
      </c>
      <c r="J21" s="8"/>
      <c r="K21" s="56">
        <f t="shared" si="8"/>
        <v>1</v>
      </c>
      <c r="L21" s="56" t="str">
        <f t="shared" si="7"/>
        <v/>
      </c>
      <c r="M21">
        <v>1</v>
      </c>
    </row>
    <row r="22" spans="1:13" x14ac:dyDescent="0.25">
      <c r="A22" s="8" t="s">
        <v>90</v>
      </c>
      <c r="B22" s="8" t="s">
        <v>634</v>
      </c>
      <c r="C22" s="45">
        <v>1</v>
      </c>
      <c r="D22" s="45">
        <v>1</v>
      </c>
      <c r="E22" s="45"/>
      <c r="F22" s="46"/>
      <c r="G22" s="8"/>
      <c r="H22" s="8"/>
      <c r="I22" s="8"/>
      <c r="J22" s="8">
        <v>1</v>
      </c>
      <c r="K22" s="56">
        <f t="shared" si="8"/>
        <v>1</v>
      </c>
      <c r="L22" s="56"/>
      <c r="M22" s="1">
        <f>SUM(E14:E22)+SUM(K14:K22)</f>
        <v>26</v>
      </c>
    </row>
    <row r="23" spans="1:13" x14ac:dyDescent="0.25">
      <c r="B23" s="8" t="s">
        <v>91</v>
      </c>
      <c r="C23" s="55">
        <f>SUM(C13:C21)</f>
        <v>26</v>
      </c>
      <c r="D23" s="55">
        <f t="shared" ref="D23:L23" si="9">SUM(D13:D21)</f>
        <v>11</v>
      </c>
      <c r="E23" s="55">
        <f t="shared" si="9"/>
        <v>10</v>
      </c>
      <c r="F23" s="55">
        <f t="shared" si="9"/>
        <v>1</v>
      </c>
      <c r="G23" s="55">
        <f t="shared" si="9"/>
        <v>4</v>
      </c>
      <c r="H23" s="55">
        <f t="shared" si="9"/>
        <v>9</v>
      </c>
      <c r="I23" s="55">
        <f t="shared" si="9"/>
        <v>3</v>
      </c>
      <c r="J23" s="55">
        <f t="shared" si="9"/>
        <v>0</v>
      </c>
      <c r="K23" s="55">
        <f t="shared" si="9"/>
        <v>16</v>
      </c>
      <c r="L23" s="55">
        <f t="shared" si="9"/>
        <v>2</v>
      </c>
      <c r="M23" s="55"/>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5"/>
  <sheetViews>
    <sheetView topLeftCell="A6" workbookViewId="0">
      <selection activeCell="F14" sqref="F14"/>
    </sheetView>
  </sheetViews>
  <sheetFormatPr defaultColWidth="8.85546875" defaultRowHeight="15" x14ac:dyDescent="0.25"/>
  <cols>
    <col min="1" max="1" width="8.28515625" customWidth="1"/>
    <col min="2" max="2" width="28.85546875" bestFit="1" customWidth="1"/>
    <col min="3" max="3" width="36" style="37" customWidth="1"/>
    <col min="4" max="4" width="31.42578125" bestFit="1" customWidth="1"/>
    <col min="5" max="5" width="4.140625" bestFit="1" customWidth="1"/>
    <col min="6" max="6" width="12" bestFit="1" customWidth="1"/>
    <col min="7" max="7" width="11.28515625" bestFit="1" customWidth="1"/>
  </cols>
  <sheetData>
    <row r="1" spans="1:7" x14ac:dyDescent="0.25">
      <c r="A1" s="8" t="s">
        <v>92</v>
      </c>
      <c r="B1" s="8" t="s">
        <v>93</v>
      </c>
      <c r="C1" s="34" t="s">
        <v>94</v>
      </c>
      <c r="D1" s="8" t="s">
        <v>95</v>
      </c>
      <c r="E1" s="8" t="s">
        <v>96</v>
      </c>
      <c r="F1" s="8" t="s">
        <v>97</v>
      </c>
      <c r="G1" s="8" t="s">
        <v>98</v>
      </c>
    </row>
    <row r="2" spans="1:7" x14ac:dyDescent="0.25">
      <c r="A2" s="8" t="s">
        <v>80</v>
      </c>
      <c r="B2" s="9" t="s">
        <v>99</v>
      </c>
      <c r="C2" s="32" t="s">
        <v>81</v>
      </c>
      <c r="D2" s="15" t="s">
        <v>100</v>
      </c>
      <c r="E2" s="17" t="s">
        <v>101</v>
      </c>
      <c r="F2" s="17" t="s">
        <v>102</v>
      </c>
      <c r="G2" s="17" t="s">
        <v>103</v>
      </c>
    </row>
    <row r="3" spans="1:7" x14ac:dyDescent="0.25">
      <c r="A3" s="8" t="s">
        <v>80</v>
      </c>
      <c r="B3" s="18" t="s">
        <v>104</v>
      </c>
      <c r="C3" s="32" t="s">
        <v>105</v>
      </c>
      <c r="D3" s="15" t="s">
        <v>106</v>
      </c>
      <c r="E3" s="8" t="s">
        <v>107</v>
      </c>
      <c r="F3" s="17" t="s">
        <v>102</v>
      </c>
      <c r="G3" s="17" t="s">
        <v>108</v>
      </c>
    </row>
    <row r="4" spans="1:7" x14ac:dyDescent="0.25">
      <c r="A4" s="8" t="s">
        <v>80</v>
      </c>
      <c r="B4" s="58" t="s">
        <v>109</v>
      </c>
      <c r="C4" s="32" t="s">
        <v>105</v>
      </c>
      <c r="D4" s="15"/>
      <c r="E4" s="8" t="s">
        <v>101</v>
      </c>
      <c r="F4" s="17" t="s">
        <v>102</v>
      </c>
      <c r="G4" s="8" t="s">
        <v>108</v>
      </c>
    </row>
    <row r="5" spans="1:7" x14ac:dyDescent="0.25">
      <c r="A5" s="8" t="s">
        <v>80</v>
      </c>
      <c r="B5" s="9" t="s">
        <v>110</v>
      </c>
      <c r="C5" s="32" t="s">
        <v>111</v>
      </c>
      <c r="D5" s="15" t="s">
        <v>112</v>
      </c>
      <c r="E5" s="17" t="s">
        <v>107</v>
      </c>
      <c r="F5" s="17" t="s">
        <v>102</v>
      </c>
      <c r="G5" s="8" t="s">
        <v>113</v>
      </c>
    </row>
    <row r="6" spans="1:7" x14ac:dyDescent="0.25">
      <c r="A6" s="8" t="s">
        <v>80</v>
      </c>
      <c r="B6" s="73" t="s">
        <v>114</v>
      </c>
      <c r="C6" s="32" t="s">
        <v>115</v>
      </c>
      <c r="D6" s="16"/>
      <c r="E6" s="8" t="s">
        <v>101</v>
      </c>
      <c r="F6" s="8"/>
      <c r="G6" s="8"/>
    </row>
    <row r="7" spans="1:7" x14ac:dyDescent="0.25">
      <c r="A7" s="8" t="s">
        <v>80</v>
      </c>
      <c r="B7" s="18" t="s">
        <v>116</v>
      </c>
      <c r="C7" s="32" t="s">
        <v>117</v>
      </c>
      <c r="D7" s="16" t="s">
        <v>118</v>
      </c>
      <c r="E7" s="17" t="s">
        <v>101</v>
      </c>
      <c r="F7" s="8" t="s">
        <v>102</v>
      </c>
      <c r="G7" s="8" t="s">
        <v>108</v>
      </c>
    </row>
    <row r="8" spans="1:7" x14ac:dyDescent="0.25">
      <c r="A8" s="8" t="s">
        <v>80</v>
      </c>
      <c r="B8" s="9" t="s">
        <v>119</v>
      </c>
      <c r="C8" s="35" t="s">
        <v>120</v>
      </c>
      <c r="D8" s="16" t="s">
        <v>121</v>
      </c>
      <c r="E8" s="8" t="s">
        <v>101</v>
      </c>
      <c r="F8" s="17" t="s">
        <v>102</v>
      </c>
      <c r="G8" s="8" t="s">
        <v>108</v>
      </c>
    </row>
    <row r="9" spans="1:7" x14ac:dyDescent="0.25">
      <c r="A9" s="8" t="s">
        <v>80</v>
      </c>
      <c r="B9" s="58" t="s">
        <v>122</v>
      </c>
      <c r="C9" s="35" t="s">
        <v>123</v>
      </c>
      <c r="D9" s="47"/>
      <c r="E9" s="8" t="s">
        <v>107</v>
      </c>
      <c r="F9" s="17" t="s">
        <v>102</v>
      </c>
      <c r="G9" s="8" t="s">
        <v>108</v>
      </c>
    </row>
    <row r="10" spans="1:7" ht="15.75" x14ac:dyDescent="0.25">
      <c r="A10" s="8" t="s">
        <v>80</v>
      </c>
      <c r="B10" s="48" t="s">
        <v>124</v>
      </c>
      <c r="C10" s="32" t="s">
        <v>125</v>
      </c>
      <c r="D10" s="16" t="s">
        <v>126</v>
      </c>
      <c r="E10" s="8" t="s">
        <v>101</v>
      </c>
      <c r="F10" s="8" t="s">
        <v>127</v>
      </c>
      <c r="G10" s="8" t="s">
        <v>128</v>
      </c>
    </row>
    <row r="11" spans="1:7" ht="15.75" x14ac:dyDescent="0.25">
      <c r="A11" s="8" t="s">
        <v>80</v>
      </c>
      <c r="B11" s="48" t="s">
        <v>129</v>
      </c>
      <c r="C11" s="32" t="s">
        <v>130</v>
      </c>
      <c r="D11" s="16"/>
      <c r="E11" s="17" t="s">
        <v>107</v>
      </c>
      <c r="F11" s="8" t="s">
        <v>127</v>
      </c>
      <c r="G11" s="8" t="s">
        <v>128</v>
      </c>
    </row>
    <row r="12" spans="1:7" ht="15.75" x14ac:dyDescent="0.25">
      <c r="A12" s="8" t="s">
        <v>80</v>
      </c>
      <c r="B12" s="48" t="s">
        <v>131</v>
      </c>
      <c r="C12" s="32" t="s">
        <v>130</v>
      </c>
      <c r="D12" s="16"/>
      <c r="E12" s="8" t="s">
        <v>107</v>
      </c>
      <c r="F12" s="8" t="s">
        <v>127</v>
      </c>
      <c r="G12" s="8" t="s">
        <v>128</v>
      </c>
    </row>
    <row r="13" spans="1:7" ht="15.75" x14ac:dyDescent="0.25">
      <c r="A13" s="8" t="s">
        <v>80</v>
      </c>
      <c r="B13" s="48" t="s">
        <v>132</v>
      </c>
      <c r="C13" s="32" t="s">
        <v>130</v>
      </c>
      <c r="D13" s="16"/>
      <c r="E13" s="17" t="s">
        <v>101</v>
      </c>
      <c r="F13" s="8" t="s">
        <v>127</v>
      </c>
      <c r="G13" s="8" t="s">
        <v>128</v>
      </c>
    </row>
    <row r="14" spans="1:7" x14ac:dyDescent="0.25">
      <c r="A14" s="8" t="s">
        <v>80</v>
      </c>
      <c r="B14" s="28" t="s">
        <v>133</v>
      </c>
      <c r="C14" s="32" t="s">
        <v>130</v>
      </c>
      <c r="D14" s="16"/>
      <c r="E14" s="8"/>
      <c r="F14" s="8" t="s">
        <v>134</v>
      </c>
      <c r="G14" s="8" t="s">
        <v>74</v>
      </c>
    </row>
    <row r="15" spans="1:7" x14ac:dyDescent="0.25">
      <c r="A15" s="8" t="s">
        <v>80</v>
      </c>
      <c r="B15" s="28" t="s">
        <v>135</v>
      </c>
      <c r="C15" s="32" t="s">
        <v>130</v>
      </c>
      <c r="D15" s="16"/>
      <c r="E15" s="17"/>
      <c r="F15" s="8" t="s">
        <v>134</v>
      </c>
      <c r="G15" s="8" t="s">
        <v>74</v>
      </c>
    </row>
    <row r="16" spans="1:7" x14ac:dyDescent="0.25">
      <c r="A16" s="8" t="s">
        <v>80</v>
      </c>
      <c r="B16" s="28" t="s">
        <v>136</v>
      </c>
      <c r="C16" s="32" t="s">
        <v>130</v>
      </c>
      <c r="D16" s="16"/>
      <c r="E16" s="8"/>
      <c r="F16" s="8" t="s">
        <v>134</v>
      </c>
      <c r="G16" s="8" t="s">
        <v>74</v>
      </c>
    </row>
    <row r="17" spans="1:7" ht="15.75" x14ac:dyDescent="0.25">
      <c r="A17" s="8" t="s">
        <v>80</v>
      </c>
      <c r="B17" s="48" t="s">
        <v>137</v>
      </c>
      <c r="C17" s="32" t="s">
        <v>138</v>
      </c>
      <c r="D17" s="16"/>
      <c r="E17" s="17" t="s">
        <v>107</v>
      </c>
      <c r="F17" s="8" t="s">
        <v>127</v>
      </c>
      <c r="G17" s="8" t="s">
        <v>128</v>
      </c>
    </row>
    <row r="18" spans="1:7" ht="15.75" x14ac:dyDescent="0.25">
      <c r="A18" s="8" t="s">
        <v>80</v>
      </c>
      <c r="B18" s="48" t="s">
        <v>139</v>
      </c>
      <c r="C18" s="32" t="s">
        <v>138</v>
      </c>
      <c r="D18" s="16"/>
      <c r="E18" s="8" t="s">
        <v>101</v>
      </c>
      <c r="F18" s="8" t="s">
        <v>127</v>
      </c>
      <c r="G18" s="8" t="s">
        <v>128</v>
      </c>
    </row>
    <row r="19" spans="1:7" x14ac:dyDescent="0.25">
      <c r="A19" s="8" t="s">
        <v>80</v>
      </c>
      <c r="B19" t="s">
        <v>140</v>
      </c>
      <c r="C19" s="32" t="s">
        <v>138</v>
      </c>
      <c r="D19" s="16"/>
      <c r="E19" s="17" t="s">
        <v>107</v>
      </c>
      <c r="F19" s="8" t="s">
        <v>134</v>
      </c>
      <c r="G19" s="8" t="s">
        <v>74</v>
      </c>
    </row>
    <row r="20" spans="1:7" ht="19.5" customHeight="1" x14ac:dyDescent="0.25">
      <c r="A20" s="8" t="s">
        <v>80</v>
      </c>
      <c r="B20" s="48" t="s">
        <v>141</v>
      </c>
      <c r="C20" s="32" t="s">
        <v>142</v>
      </c>
      <c r="D20" s="16"/>
      <c r="E20" s="8" t="s">
        <v>107</v>
      </c>
      <c r="F20" s="8" t="s">
        <v>127</v>
      </c>
      <c r="G20" s="8" t="s">
        <v>128</v>
      </c>
    </row>
    <row r="21" spans="1:7" ht="15.75" x14ac:dyDescent="0.25">
      <c r="A21" s="8" t="s">
        <v>80</v>
      </c>
      <c r="B21" s="48" t="s">
        <v>143</v>
      </c>
      <c r="C21" s="32" t="s">
        <v>142</v>
      </c>
      <c r="D21" s="16"/>
      <c r="E21" s="8" t="s">
        <v>107</v>
      </c>
      <c r="F21" s="8" t="s">
        <v>127</v>
      </c>
      <c r="G21" s="8" t="s">
        <v>128</v>
      </c>
    </row>
    <row r="22" spans="1:7" x14ac:dyDescent="0.25">
      <c r="A22" s="8" t="s">
        <v>80</v>
      </c>
      <c r="B22" s="28" t="s">
        <v>144</v>
      </c>
      <c r="C22" s="32" t="s">
        <v>142</v>
      </c>
      <c r="D22" s="16"/>
      <c r="E22" s="8" t="s">
        <v>107</v>
      </c>
      <c r="F22" s="8" t="s">
        <v>134</v>
      </c>
      <c r="G22" s="8" t="s">
        <v>74</v>
      </c>
    </row>
    <row r="23" spans="1:7" x14ac:dyDescent="0.25">
      <c r="A23" s="8" t="s">
        <v>80</v>
      </c>
      <c r="B23" s="28" t="s">
        <v>145</v>
      </c>
      <c r="C23" s="32" t="s">
        <v>142</v>
      </c>
      <c r="D23" s="16"/>
      <c r="E23" s="8" t="s">
        <v>101</v>
      </c>
      <c r="F23" s="8" t="s">
        <v>134</v>
      </c>
      <c r="G23" s="8" t="s">
        <v>74</v>
      </c>
    </row>
    <row r="24" spans="1:7" x14ac:dyDescent="0.25">
      <c r="A24" s="8" t="s">
        <v>80</v>
      </c>
      <c r="B24" s="18"/>
      <c r="C24" s="32" t="s">
        <v>146</v>
      </c>
      <c r="D24" s="16"/>
      <c r="E24" s="8"/>
      <c r="F24" s="8"/>
      <c r="G24" s="8"/>
    </row>
    <row r="25" spans="1:7" x14ac:dyDescent="0.25">
      <c r="A25" s="8" t="s">
        <v>80</v>
      </c>
      <c r="B25" s="18"/>
      <c r="C25" s="32" t="s">
        <v>130</v>
      </c>
      <c r="D25" s="16"/>
      <c r="E25" s="8"/>
      <c r="F25" s="8"/>
      <c r="G25" s="8"/>
    </row>
    <row r="26" spans="1:7" x14ac:dyDescent="0.25">
      <c r="A26" s="8" t="s">
        <v>80</v>
      </c>
      <c r="B26" s="18"/>
      <c r="C26" s="32" t="s">
        <v>130</v>
      </c>
      <c r="D26" s="31"/>
      <c r="E26" s="8"/>
      <c r="F26" s="8"/>
      <c r="G26" s="8"/>
    </row>
    <row r="27" spans="1:7" x14ac:dyDescent="0.25">
      <c r="A27" s="8" t="s">
        <v>80</v>
      </c>
      <c r="B27" s="18"/>
      <c r="C27" s="32" t="s">
        <v>147</v>
      </c>
      <c r="D27" s="8"/>
      <c r="E27" s="8"/>
      <c r="F27" s="8"/>
      <c r="G27" s="8"/>
    </row>
    <row r="29" spans="1:7" x14ac:dyDescent="0.25">
      <c r="A29" s="30" t="s">
        <v>92</v>
      </c>
      <c r="B29" s="30" t="s">
        <v>93</v>
      </c>
      <c r="C29" s="36" t="s">
        <v>94</v>
      </c>
      <c r="D29" s="30" t="s">
        <v>95</v>
      </c>
      <c r="E29" s="30" t="s">
        <v>96</v>
      </c>
      <c r="F29" s="30" t="s">
        <v>97</v>
      </c>
      <c r="G29" s="30" t="s">
        <v>98</v>
      </c>
    </row>
    <row r="30" spans="1:7" x14ac:dyDescent="0.25">
      <c r="A30" s="8" t="s">
        <v>90</v>
      </c>
      <c r="B30" s="9" t="s">
        <v>148</v>
      </c>
      <c r="C30" s="32" t="s">
        <v>81</v>
      </c>
      <c r="D30" s="15" t="s">
        <v>149</v>
      </c>
      <c r="E30" s="8" t="s">
        <v>107</v>
      </c>
      <c r="F30" s="17" t="s">
        <v>102</v>
      </c>
      <c r="G30" s="8" t="s">
        <v>150</v>
      </c>
    </row>
    <row r="31" spans="1:7" x14ac:dyDescent="0.25">
      <c r="A31" s="8" t="s">
        <v>90</v>
      </c>
      <c r="B31" s="9" t="s">
        <v>151</v>
      </c>
      <c r="C31" s="32" t="s">
        <v>105</v>
      </c>
      <c r="D31" s="17"/>
      <c r="E31" s="8" t="s">
        <v>107</v>
      </c>
      <c r="F31" s="17" t="s">
        <v>102</v>
      </c>
      <c r="G31" s="8" t="s">
        <v>152</v>
      </c>
    </row>
    <row r="32" spans="1:7" x14ac:dyDescent="0.25">
      <c r="A32" s="8" t="s">
        <v>90</v>
      </c>
      <c r="B32" s="9" t="s">
        <v>153</v>
      </c>
      <c r="C32" s="32" t="s">
        <v>105</v>
      </c>
      <c r="D32" s="17"/>
      <c r="E32" s="8" t="s">
        <v>101</v>
      </c>
      <c r="F32" s="17" t="s">
        <v>102</v>
      </c>
      <c r="G32" s="8" t="s">
        <v>154</v>
      </c>
    </row>
    <row r="33" spans="1:7" ht="15.75" customHeight="1" x14ac:dyDescent="0.25">
      <c r="A33" s="8" t="s">
        <v>90</v>
      </c>
      <c r="B33" s="9" t="s">
        <v>155</v>
      </c>
      <c r="C33" s="32" t="s">
        <v>111</v>
      </c>
      <c r="D33" s="17"/>
      <c r="E33" s="8" t="s">
        <v>107</v>
      </c>
      <c r="F33" s="17" t="s">
        <v>102</v>
      </c>
      <c r="G33" s="8" t="s">
        <v>156</v>
      </c>
    </row>
    <row r="34" spans="1:7" ht="15.75" customHeight="1" x14ac:dyDescent="0.25">
      <c r="A34" s="8" t="s">
        <v>90</v>
      </c>
      <c r="B34" s="9" t="s">
        <v>157</v>
      </c>
      <c r="C34" s="33" t="s">
        <v>158</v>
      </c>
      <c r="D34" s="17"/>
      <c r="E34" s="8" t="s">
        <v>101</v>
      </c>
      <c r="F34" s="17" t="s">
        <v>102</v>
      </c>
      <c r="G34" s="8" t="s">
        <v>159</v>
      </c>
    </row>
    <row r="35" spans="1:7" ht="15.75" customHeight="1" x14ac:dyDescent="0.25">
      <c r="A35" s="8" t="s">
        <v>90</v>
      </c>
      <c r="B35" s="18" t="s">
        <v>160</v>
      </c>
      <c r="C35" s="32" t="s">
        <v>161</v>
      </c>
      <c r="D35" s="17"/>
      <c r="E35" s="8" t="s">
        <v>107</v>
      </c>
      <c r="F35" s="17" t="s">
        <v>102</v>
      </c>
      <c r="G35" s="8" t="s">
        <v>150</v>
      </c>
    </row>
    <row r="36" spans="1:7" ht="15.75" customHeight="1" x14ac:dyDescent="0.25">
      <c r="A36" s="8" t="s">
        <v>90</v>
      </c>
      <c r="B36" s="18" t="s">
        <v>162</v>
      </c>
      <c r="C36" s="32" t="s">
        <v>120</v>
      </c>
      <c r="D36" s="17"/>
      <c r="E36" s="8" t="s">
        <v>101</v>
      </c>
      <c r="F36" s="17" t="s">
        <v>102</v>
      </c>
      <c r="G36" s="8" t="s">
        <v>150</v>
      </c>
    </row>
    <row r="37" spans="1:7" x14ac:dyDescent="0.25">
      <c r="A37" s="8" t="s">
        <v>90</v>
      </c>
      <c r="B37" s="18" t="s">
        <v>163</v>
      </c>
      <c r="C37" s="32" t="s">
        <v>164</v>
      </c>
      <c r="D37" s="17"/>
      <c r="E37" s="8" t="s">
        <v>107</v>
      </c>
      <c r="F37" s="17" t="s">
        <v>102</v>
      </c>
      <c r="G37" s="8" t="s">
        <v>150</v>
      </c>
    </row>
    <row r="38" spans="1:7" x14ac:dyDescent="0.25">
      <c r="A38" s="8" t="s">
        <v>90</v>
      </c>
      <c r="B38" s="18" t="s">
        <v>165</v>
      </c>
      <c r="C38" s="32" t="s">
        <v>125</v>
      </c>
      <c r="D38" s="17"/>
      <c r="E38" s="8" t="s">
        <v>107</v>
      </c>
      <c r="F38" s="8" t="s">
        <v>166</v>
      </c>
      <c r="G38" s="8" t="s">
        <v>74</v>
      </c>
    </row>
    <row r="39" spans="1:7" x14ac:dyDescent="0.25">
      <c r="A39" s="8" t="s">
        <v>90</v>
      </c>
      <c r="B39" s="28" t="s">
        <v>167</v>
      </c>
      <c r="C39" s="32" t="s">
        <v>130</v>
      </c>
      <c r="D39" s="29"/>
      <c r="E39" s="8" t="s">
        <v>107</v>
      </c>
      <c r="F39" s="8" t="s">
        <v>166</v>
      </c>
      <c r="G39" s="8" t="s">
        <v>74</v>
      </c>
    </row>
    <row r="40" spans="1:7" x14ac:dyDescent="0.25">
      <c r="A40" s="8" t="s">
        <v>90</v>
      </c>
      <c r="B40" s="28" t="s">
        <v>168</v>
      </c>
      <c r="C40" s="32" t="s">
        <v>130</v>
      </c>
      <c r="D40" s="29"/>
      <c r="E40" s="8" t="s">
        <v>107</v>
      </c>
      <c r="F40" s="8" t="s">
        <v>166</v>
      </c>
      <c r="G40" s="8" t="s">
        <v>74</v>
      </c>
    </row>
    <row r="41" spans="1:7" x14ac:dyDescent="0.25">
      <c r="A41" s="8" t="s">
        <v>90</v>
      </c>
      <c r="B41" s="18"/>
      <c r="C41" s="32" t="s">
        <v>130</v>
      </c>
      <c r="D41" s="29"/>
      <c r="E41" s="8"/>
      <c r="F41" s="8"/>
      <c r="G41" s="8"/>
    </row>
    <row r="42" spans="1:7" x14ac:dyDescent="0.25">
      <c r="A42" s="8" t="s">
        <v>90</v>
      </c>
      <c r="B42" s="18"/>
      <c r="C42" s="32" t="s">
        <v>130</v>
      </c>
      <c r="D42" s="17"/>
      <c r="E42" s="8"/>
      <c r="F42" s="8"/>
      <c r="G42" s="8"/>
    </row>
    <row r="43" spans="1:7" x14ac:dyDescent="0.25">
      <c r="A43" s="8" t="s">
        <v>90</v>
      </c>
      <c r="B43" s="18"/>
      <c r="C43" s="32" t="s">
        <v>130</v>
      </c>
      <c r="D43" s="17"/>
      <c r="E43" s="8"/>
      <c r="F43" s="8"/>
      <c r="G43" s="8"/>
    </row>
    <row r="44" spans="1:7" x14ac:dyDescent="0.25">
      <c r="A44" s="8" t="s">
        <v>90</v>
      </c>
      <c r="B44" s="18" t="s">
        <v>169</v>
      </c>
      <c r="C44" s="32" t="s">
        <v>130</v>
      </c>
      <c r="D44" s="17"/>
      <c r="E44" s="8" t="s">
        <v>101</v>
      </c>
      <c r="F44" s="8" t="s">
        <v>134</v>
      </c>
      <c r="G44" s="8" t="s">
        <v>74</v>
      </c>
    </row>
    <row r="45" spans="1:7" x14ac:dyDescent="0.25">
      <c r="A45" s="8" t="s">
        <v>90</v>
      </c>
      <c r="B45" s="18" t="s">
        <v>170</v>
      </c>
      <c r="C45" s="32" t="s">
        <v>138</v>
      </c>
      <c r="D45" s="17"/>
      <c r="E45" s="8" t="s">
        <v>101</v>
      </c>
      <c r="F45" s="8" t="s">
        <v>134</v>
      </c>
      <c r="G45" s="8" t="s">
        <v>74</v>
      </c>
    </row>
    <row r="46" spans="1:7" x14ac:dyDescent="0.25">
      <c r="A46" s="8" t="s">
        <v>90</v>
      </c>
      <c r="B46" s="28"/>
      <c r="C46" s="32" t="s">
        <v>138</v>
      </c>
      <c r="D46" s="17"/>
      <c r="E46" s="8"/>
      <c r="F46" s="8"/>
      <c r="G46" s="8"/>
    </row>
    <row r="47" spans="1:7" x14ac:dyDescent="0.25">
      <c r="A47" s="8" t="s">
        <v>90</v>
      </c>
      <c r="B47" s="18"/>
      <c r="C47" s="32" t="s">
        <v>138</v>
      </c>
      <c r="D47" s="17"/>
      <c r="E47" s="8"/>
      <c r="F47" s="8"/>
      <c r="G47" s="8"/>
    </row>
    <row r="48" spans="1:7" x14ac:dyDescent="0.25">
      <c r="A48" s="8" t="s">
        <v>90</v>
      </c>
      <c r="B48" s="28" t="s">
        <v>171</v>
      </c>
      <c r="C48" s="32" t="s">
        <v>142</v>
      </c>
      <c r="D48" s="29"/>
      <c r="E48" s="8" t="s">
        <v>107</v>
      </c>
      <c r="F48" s="8" t="s">
        <v>134</v>
      </c>
      <c r="G48" s="8" t="s">
        <v>74</v>
      </c>
    </row>
    <row r="49" spans="1:7" x14ac:dyDescent="0.25">
      <c r="A49" s="8" t="s">
        <v>90</v>
      </c>
      <c r="B49" s="28" t="s">
        <v>172</v>
      </c>
      <c r="C49" s="32" t="s">
        <v>142</v>
      </c>
      <c r="D49" s="17"/>
      <c r="E49" s="8" t="s">
        <v>107</v>
      </c>
      <c r="F49" s="8" t="s">
        <v>134</v>
      </c>
      <c r="G49" s="8" t="s">
        <v>74</v>
      </c>
    </row>
    <row r="50" spans="1:7" x14ac:dyDescent="0.25">
      <c r="A50" s="8" t="s">
        <v>90</v>
      </c>
      <c r="B50" s="28" t="s">
        <v>173</v>
      </c>
      <c r="C50" s="32" t="s">
        <v>142</v>
      </c>
      <c r="D50" s="17"/>
      <c r="E50" s="8"/>
      <c r="F50" s="8" t="s">
        <v>134</v>
      </c>
      <c r="G50" s="8" t="s">
        <v>74</v>
      </c>
    </row>
    <row r="51" spans="1:7" x14ac:dyDescent="0.25">
      <c r="A51" s="8" t="s">
        <v>90</v>
      </c>
      <c r="B51" s="28"/>
      <c r="C51" s="32" t="s">
        <v>142</v>
      </c>
      <c r="D51" s="17"/>
      <c r="E51" s="8"/>
      <c r="F51" s="8"/>
      <c r="G51" s="8"/>
    </row>
    <row r="52" spans="1:7" x14ac:dyDescent="0.25">
      <c r="A52" s="8" t="s">
        <v>90</v>
      </c>
      <c r="B52" s="8" t="s">
        <v>174</v>
      </c>
      <c r="C52" s="32" t="s">
        <v>146</v>
      </c>
      <c r="D52" s="29"/>
      <c r="E52" s="8" t="s">
        <v>107</v>
      </c>
      <c r="F52" s="8" t="s">
        <v>134</v>
      </c>
      <c r="G52" s="8" t="s">
        <v>74</v>
      </c>
    </row>
    <row r="53" spans="1:7" x14ac:dyDescent="0.25">
      <c r="A53" s="8" t="s">
        <v>90</v>
      </c>
      <c r="B53" s="38"/>
      <c r="C53" s="32" t="s">
        <v>175</v>
      </c>
      <c r="D53" s="29"/>
      <c r="E53" s="8"/>
      <c r="F53" s="8"/>
      <c r="G53" s="8"/>
    </row>
    <row r="54" spans="1:7" x14ac:dyDescent="0.25">
      <c r="A54" s="8" t="s">
        <v>90</v>
      </c>
      <c r="B54" s="28" t="s">
        <v>176</v>
      </c>
      <c r="C54" s="32" t="s">
        <v>177</v>
      </c>
      <c r="E54" s="8" t="s">
        <v>101</v>
      </c>
      <c r="F54" s="17" t="s">
        <v>102</v>
      </c>
      <c r="G54" s="8" t="s">
        <v>150</v>
      </c>
    </row>
    <row r="55" spans="1:7" x14ac:dyDescent="0.25">
      <c r="A55" s="8" t="s">
        <v>90</v>
      </c>
      <c r="B55" s="37" t="s">
        <v>178</v>
      </c>
      <c r="C55" s="32" t="s">
        <v>179</v>
      </c>
      <c r="E55" t="s">
        <v>101</v>
      </c>
      <c r="F55" s="17" t="s">
        <v>102</v>
      </c>
      <c r="G55" s="8" t="s">
        <v>180</v>
      </c>
    </row>
  </sheetData>
  <hyperlinks>
    <hyperlink ref="D3" r:id="rId1" xr:uid="{00000000-0004-0000-0400-000000000000}"/>
    <hyperlink ref="D5" r:id="rId2" xr:uid="{00000000-0004-0000-0400-000002000000}"/>
    <hyperlink ref="D7" r:id="rId3" xr:uid="{00000000-0004-0000-0400-000003000000}"/>
    <hyperlink ref="D2" r:id="rId4" display="mailto:eriko@hi.no" xr:uid="{00000000-0004-0000-0400-000004000000}"/>
    <hyperlink ref="D30" r:id="rId5" xr:uid="{00000000-0004-0000-0400-000005000000}"/>
    <hyperlink ref="D8" r:id="rId6" xr:uid="{00000000-0004-0000-0400-000007000000}"/>
    <hyperlink ref="D10" r:id="rId7" xr:uid="{00000000-0004-0000-0400-000008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
  <sheetViews>
    <sheetView workbookViewId="0">
      <selection activeCell="C10" sqref="C10"/>
    </sheetView>
  </sheetViews>
  <sheetFormatPr defaultColWidth="8.85546875" defaultRowHeight="15" x14ac:dyDescent="0.25"/>
  <cols>
    <col min="1" max="1" width="15" customWidth="1"/>
    <col min="2" max="3" width="50.42578125" customWidth="1"/>
  </cols>
  <sheetData>
    <row r="1" spans="1:4" x14ac:dyDescent="0.25">
      <c r="A1" s="14" t="s">
        <v>181</v>
      </c>
      <c r="B1" s="14" t="s">
        <v>182</v>
      </c>
      <c r="C1" s="14" t="s">
        <v>183</v>
      </c>
    </row>
    <row r="2" spans="1:4" ht="25.5" x14ac:dyDescent="0.25">
      <c r="A2" s="19" t="s">
        <v>184</v>
      </c>
      <c r="B2" s="19" t="s">
        <v>185</v>
      </c>
      <c r="C2" s="19" t="s">
        <v>628</v>
      </c>
    </row>
    <row r="3" spans="1:4" ht="38.25" x14ac:dyDescent="0.25">
      <c r="A3" s="19" t="s">
        <v>184</v>
      </c>
      <c r="B3" s="19" t="s">
        <v>186</v>
      </c>
      <c r="C3" s="19" t="s">
        <v>629</v>
      </c>
    </row>
    <row r="4" spans="1:4" ht="25.5" x14ac:dyDescent="0.25">
      <c r="A4" s="19" t="s">
        <v>187</v>
      </c>
      <c r="B4" s="19" t="s">
        <v>623</v>
      </c>
      <c r="C4" s="19" t="s">
        <v>627</v>
      </c>
    </row>
    <row r="5" spans="1:4" ht="38.25" x14ac:dyDescent="0.25">
      <c r="A5" s="19" t="s">
        <v>188</v>
      </c>
      <c r="B5" s="19" t="s">
        <v>624</v>
      </c>
      <c r="C5" s="19" t="s">
        <v>630</v>
      </c>
      <c r="D5" s="19"/>
    </row>
    <row r="6" spans="1:4" ht="25.5" x14ac:dyDescent="0.25">
      <c r="A6" s="19" t="s">
        <v>625</v>
      </c>
      <c r="B6" s="19" t="s">
        <v>626</v>
      </c>
      <c r="C6" s="19" t="s">
        <v>630</v>
      </c>
    </row>
    <row r="7" spans="1:4" ht="25.5" x14ac:dyDescent="0.25">
      <c r="A7" s="19" t="s">
        <v>189</v>
      </c>
      <c r="B7" s="19" t="s">
        <v>190</v>
      </c>
      <c r="C7" s="19" t="s">
        <v>631</v>
      </c>
    </row>
    <row r="8" spans="1:4" ht="25.5" x14ac:dyDescent="0.25">
      <c r="A8" s="19" t="s">
        <v>191</v>
      </c>
      <c r="B8" s="19" t="s">
        <v>192</v>
      </c>
      <c r="C8" s="19" t="s">
        <v>632</v>
      </c>
    </row>
    <row r="9" spans="1:4" x14ac:dyDescent="0.25">
      <c r="A9" s="19" t="s">
        <v>193</v>
      </c>
      <c r="B9" s="19" t="s">
        <v>194</v>
      </c>
      <c r="C9" s="19" t="s">
        <v>633</v>
      </c>
    </row>
  </sheetData>
  <phoneticPr fontId="26"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1"/>
  <sheetViews>
    <sheetView workbookViewId="0">
      <selection activeCell="B6" sqref="B6"/>
    </sheetView>
  </sheetViews>
  <sheetFormatPr defaultColWidth="8.85546875" defaultRowHeight="15" x14ac:dyDescent="0.25"/>
  <cols>
    <col min="1" max="1" width="27.28515625" bestFit="1" customWidth="1"/>
    <col min="2" max="2" width="159.85546875" customWidth="1"/>
  </cols>
  <sheetData>
    <row r="1" spans="1:2" x14ac:dyDescent="0.25">
      <c r="A1" s="1" t="s">
        <v>195</v>
      </c>
      <c r="B1" s="1" t="s">
        <v>196</v>
      </c>
    </row>
    <row r="2" spans="1:2" x14ac:dyDescent="0.25">
      <c r="A2" t="s">
        <v>197</v>
      </c>
      <c r="B2" t="s">
        <v>198</v>
      </c>
    </row>
    <row r="3" spans="1:2" x14ac:dyDescent="0.25">
      <c r="A3" t="s">
        <v>199</v>
      </c>
      <c r="B3" t="s">
        <v>200</v>
      </c>
    </row>
    <row r="4" spans="1:2" x14ac:dyDescent="0.25">
      <c r="A4" t="s">
        <v>201</v>
      </c>
      <c r="B4" t="s">
        <v>202</v>
      </c>
    </row>
    <row r="5" spans="1:2" x14ac:dyDescent="0.25">
      <c r="A5" t="s">
        <v>203</v>
      </c>
      <c r="B5" t="s">
        <v>204</v>
      </c>
    </row>
    <row r="6" spans="1:2" x14ac:dyDescent="0.25">
      <c r="A6" t="s">
        <v>205</v>
      </c>
      <c r="B6" t="s">
        <v>601</v>
      </c>
    </row>
    <row r="7" spans="1:2" x14ac:dyDescent="0.25">
      <c r="A7" t="s">
        <v>206</v>
      </c>
      <c r="B7" t="s">
        <v>207</v>
      </c>
    </row>
    <row r="8" spans="1:2" x14ac:dyDescent="0.25">
      <c r="A8" t="s">
        <v>208</v>
      </c>
      <c r="B8" t="s">
        <v>209</v>
      </c>
    </row>
    <row r="9" spans="1:2" x14ac:dyDescent="0.25">
      <c r="A9" t="s">
        <v>210</v>
      </c>
      <c r="B9" t="s">
        <v>211</v>
      </c>
    </row>
    <row r="10" spans="1:2" x14ac:dyDescent="0.25">
      <c r="A10" t="s">
        <v>212</v>
      </c>
      <c r="B10" t="s">
        <v>213</v>
      </c>
    </row>
    <row r="11" spans="1:2" x14ac:dyDescent="0.25">
      <c r="A11" t="s">
        <v>214</v>
      </c>
      <c r="B11" t="s">
        <v>215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F7" sqref="F7"/>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216</v>
      </c>
      <c r="B1" s="1" t="s">
        <v>217</v>
      </c>
      <c r="C1" s="1" t="s">
        <v>218</v>
      </c>
      <c r="D1" s="1" t="s">
        <v>219</v>
      </c>
      <c r="E1" s="1" t="s">
        <v>220</v>
      </c>
      <c r="F1" s="1" t="s">
        <v>221</v>
      </c>
      <c r="G1" s="1" t="s">
        <v>222</v>
      </c>
      <c r="H1" s="1" t="s">
        <v>223</v>
      </c>
    </row>
    <row r="2" spans="1:8" x14ac:dyDescent="0.25">
      <c r="A2" s="8" t="s">
        <v>224</v>
      </c>
      <c r="B2" s="8" t="s">
        <v>225</v>
      </c>
      <c r="C2" s="40"/>
      <c r="D2" s="40"/>
      <c r="E2" s="40" t="s">
        <v>226</v>
      </c>
      <c r="F2" s="40"/>
      <c r="G2" s="40"/>
      <c r="H2" s="40"/>
    </row>
    <row r="3" spans="1:8" x14ac:dyDescent="0.25">
      <c r="A3" s="8" t="s">
        <v>224</v>
      </c>
      <c r="B3" s="8" t="s">
        <v>227</v>
      </c>
      <c r="C3" s="40"/>
      <c r="D3" s="40"/>
      <c r="E3" s="40"/>
      <c r="F3" s="40" t="s">
        <v>226</v>
      </c>
      <c r="G3" s="40"/>
      <c r="H3" s="40"/>
    </row>
    <row r="4" spans="1:8" x14ac:dyDescent="0.25">
      <c r="A4" s="8" t="s">
        <v>224</v>
      </c>
      <c r="B4" s="8" t="s">
        <v>228</v>
      </c>
      <c r="C4" s="40"/>
      <c r="D4" s="40"/>
      <c r="E4" s="40"/>
      <c r="F4" s="40" t="s">
        <v>226</v>
      </c>
      <c r="G4" s="40"/>
      <c r="H4" s="40"/>
    </row>
    <row r="5" spans="1:8" x14ac:dyDescent="0.25">
      <c r="A5" s="8" t="s">
        <v>224</v>
      </c>
      <c r="B5" s="8" t="s">
        <v>229</v>
      </c>
      <c r="C5" s="40"/>
      <c r="D5" s="40"/>
      <c r="E5" s="40"/>
      <c r="F5" s="40" t="s">
        <v>226</v>
      </c>
      <c r="G5" s="40"/>
      <c r="H5" s="40"/>
    </row>
    <row r="6" spans="1:8" x14ac:dyDescent="0.25">
      <c r="A6" s="8" t="s">
        <v>224</v>
      </c>
      <c r="B6" s="8" t="s">
        <v>230</v>
      </c>
      <c r="C6" s="40"/>
      <c r="D6" s="40"/>
      <c r="E6" s="40" t="s">
        <v>226</v>
      </c>
      <c r="F6" s="40"/>
      <c r="G6" s="40"/>
      <c r="H6" s="40"/>
    </row>
    <row r="7" spans="1:8" x14ac:dyDescent="0.25">
      <c r="A7" s="8" t="s">
        <v>224</v>
      </c>
      <c r="B7" s="8" t="s">
        <v>231</v>
      </c>
      <c r="C7" s="40"/>
      <c r="D7" s="40"/>
      <c r="E7" s="40"/>
      <c r="F7" s="40" t="s">
        <v>226</v>
      </c>
      <c r="G7" s="40"/>
      <c r="H7" s="40"/>
    </row>
    <row r="8" spans="1:8" x14ac:dyDescent="0.25">
      <c r="A8" s="8" t="s">
        <v>224</v>
      </c>
      <c r="B8" s="8" t="s">
        <v>232</v>
      </c>
      <c r="C8" s="40"/>
      <c r="D8" s="40"/>
      <c r="E8" s="40"/>
      <c r="F8" s="40" t="s">
        <v>226</v>
      </c>
      <c r="G8" s="40"/>
      <c r="H8" s="40"/>
    </row>
    <row r="9" spans="1:8" x14ac:dyDescent="0.25">
      <c r="A9" s="8" t="s">
        <v>224</v>
      </c>
      <c r="B9" s="8" t="s">
        <v>233</v>
      </c>
      <c r="C9" s="40"/>
      <c r="D9" s="40"/>
      <c r="E9" s="40"/>
      <c r="F9" s="40" t="s">
        <v>226</v>
      </c>
      <c r="G9" s="40"/>
      <c r="H9" s="40"/>
    </row>
    <row r="10" spans="1:8" x14ac:dyDescent="0.25">
      <c r="A10" s="8" t="s">
        <v>224</v>
      </c>
      <c r="B10" s="8" t="s">
        <v>234</v>
      </c>
      <c r="C10" s="40"/>
      <c r="D10" s="40"/>
      <c r="E10" s="40"/>
      <c r="F10" s="40" t="s">
        <v>226</v>
      </c>
      <c r="G10" s="40"/>
      <c r="H10" s="40"/>
    </row>
    <row r="11" spans="1:8" x14ac:dyDescent="0.25">
      <c r="A11" s="8" t="s">
        <v>235</v>
      </c>
      <c r="B11" s="8" t="s">
        <v>236</v>
      </c>
      <c r="C11" s="40" t="s">
        <v>226</v>
      </c>
      <c r="D11" s="40"/>
      <c r="E11" s="40"/>
      <c r="F11" s="40"/>
      <c r="G11" s="40"/>
      <c r="H11" s="40"/>
    </row>
    <row r="12" spans="1:8" x14ac:dyDescent="0.25">
      <c r="A12" s="8" t="s">
        <v>235</v>
      </c>
      <c r="B12" s="8" t="s">
        <v>237</v>
      </c>
      <c r="C12" s="40"/>
      <c r="D12" s="40"/>
      <c r="E12" s="40"/>
      <c r="F12" s="40" t="s">
        <v>226</v>
      </c>
      <c r="G12" s="40"/>
      <c r="H12" s="40"/>
    </row>
    <row r="13" spans="1:8" x14ac:dyDescent="0.25">
      <c r="A13" s="8" t="s">
        <v>235</v>
      </c>
      <c r="B13" s="8" t="s">
        <v>238</v>
      </c>
      <c r="C13" s="40" t="s">
        <v>226</v>
      </c>
      <c r="D13" s="40"/>
      <c r="E13" s="40"/>
      <c r="F13" s="40"/>
      <c r="G13" s="40"/>
      <c r="H13" s="40"/>
    </row>
    <row r="14" spans="1:8" x14ac:dyDescent="0.25">
      <c r="A14" s="8" t="s">
        <v>235</v>
      </c>
      <c r="B14" s="8" t="s">
        <v>239</v>
      </c>
      <c r="C14" s="40" t="s">
        <v>226</v>
      </c>
      <c r="D14" s="40"/>
      <c r="E14" s="40"/>
      <c r="F14" s="40"/>
      <c r="G14" s="40"/>
      <c r="H14" s="40"/>
    </row>
    <row r="15" spans="1:8" x14ac:dyDescent="0.25">
      <c r="A15" s="8" t="s">
        <v>235</v>
      </c>
      <c r="B15" s="8" t="s">
        <v>240</v>
      </c>
      <c r="C15" s="40"/>
      <c r="D15" s="40"/>
      <c r="E15" s="40"/>
      <c r="F15" s="40" t="s">
        <v>226</v>
      </c>
      <c r="G15" s="40"/>
      <c r="H15" s="40"/>
    </row>
    <row r="16" spans="1:8" x14ac:dyDescent="0.25">
      <c r="A16" s="8" t="s">
        <v>235</v>
      </c>
      <c r="B16" s="8" t="s">
        <v>241</v>
      </c>
      <c r="C16" s="40" t="s">
        <v>226</v>
      </c>
      <c r="D16" s="40"/>
      <c r="E16" s="40"/>
      <c r="F16" s="40"/>
      <c r="G16" s="40"/>
      <c r="H16" s="40"/>
    </row>
    <row r="17" spans="1:8" x14ac:dyDescent="0.25">
      <c r="A17" s="8" t="s">
        <v>235</v>
      </c>
      <c r="B17" s="8" t="s">
        <v>242</v>
      </c>
      <c r="C17" s="40"/>
      <c r="D17" s="40" t="s">
        <v>226</v>
      </c>
      <c r="E17" s="40"/>
      <c r="F17" s="40"/>
      <c r="G17" s="40"/>
      <c r="H17" s="40"/>
    </row>
    <row r="18" spans="1:8" x14ac:dyDescent="0.25">
      <c r="A18" s="8" t="s">
        <v>235</v>
      </c>
      <c r="B18" s="8" t="s">
        <v>243</v>
      </c>
      <c r="C18" s="40" t="s">
        <v>226</v>
      </c>
      <c r="D18" s="40"/>
      <c r="E18" s="40"/>
      <c r="F18" s="40"/>
      <c r="G18" s="40"/>
      <c r="H18" s="40"/>
    </row>
    <row r="19" spans="1:8" x14ac:dyDescent="0.25">
      <c r="A19" s="8" t="s">
        <v>235</v>
      </c>
      <c r="B19" s="8" t="s">
        <v>244</v>
      </c>
      <c r="C19" s="40" t="s">
        <v>226</v>
      </c>
      <c r="D19" s="40"/>
      <c r="E19" s="40"/>
      <c r="F19" s="40"/>
      <c r="G19" s="40"/>
      <c r="H19" s="40"/>
    </row>
    <row r="20" spans="1:8" x14ac:dyDescent="0.25">
      <c r="A20" s="8" t="s">
        <v>235</v>
      </c>
      <c r="B20" s="8" t="s">
        <v>245</v>
      </c>
      <c r="C20" s="40"/>
      <c r="D20" s="40"/>
      <c r="E20" s="40"/>
      <c r="F20" s="40" t="s">
        <v>226</v>
      </c>
      <c r="G20" s="40"/>
      <c r="H20" s="40"/>
    </row>
    <row r="21" spans="1:8" x14ac:dyDescent="0.25">
      <c r="A21" s="8" t="s">
        <v>235</v>
      </c>
      <c r="B21" s="8" t="s">
        <v>246</v>
      </c>
      <c r="C21" s="40" t="s">
        <v>226</v>
      </c>
      <c r="D21" s="40"/>
      <c r="E21" s="40"/>
      <c r="F21" s="40"/>
      <c r="G21" s="40"/>
      <c r="H21" s="40"/>
    </row>
    <row r="22" spans="1:8" x14ac:dyDescent="0.25">
      <c r="A22" s="8" t="s">
        <v>247</v>
      </c>
      <c r="B22" s="8" t="s">
        <v>248</v>
      </c>
      <c r="C22" s="40" t="s">
        <v>226</v>
      </c>
      <c r="D22" s="40" t="s">
        <v>226</v>
      </c>
      <c r="E22" s="40"/>
      <c r="F22" s="40"/>
      <c r="G22" s="40"/>
      <c r="H22" s="40"/>
    </row>
    <row r="23" spans="1:8" x14ac:dyDescent="0.25">
      <c r="A23" s="8" t="s">
        <v>247</v>
      </c>
      <c r="B23" s="8" t="s">
        <v>249</v>
      </c>
      <c r="C23" s="40"/>
      <c r="D23" s="40" t="s">
        <v>226</v>
      </c>
      <c r="E23" s="40"/>
      <c r="F23" s="40"/>
      <c r="G23" s="40"/>
      <c r="H23" s="40"/>
    </row>
    <row r="24" spans="1:8" x14ac:dyDescent="0.25">
      <c r="A24" s="8" t="s">
        <v>247</v>
      </c>
      <c r="B24" s="8" t="s">
        <v>203</v>
      </c>
      <c r="C24" s="40"/>
      <c r="E24" s="40"/>
      <c r="F24" s="40" t="s">
        <v>226</v>
      </c>
      <c r="G24" s="40"/>
      <c r="H24" s="40"/>
    </row>
    <row r="25" spans="1:8" x14ac:dyDescent="0.25">
      <c r="A25" s="8" t="s">
        <v>250</v>
      </c>
      <c r="B25" s="8" t="s">
        <v>251</v>
      </c>
      <c r="C25" s="40"/>
      <c r="D25" s="40"/>
      <c r="E25" s="40"/>
      <c r="F25" s="40"/>
      <c r="G25" s="40"/>
      <c r="H25" s="40" t="s">
        <v>226</v>
      </c>
    </row>
    <row r="26" spans="1:8" x14ac:dyDescent="0.25">
      <c r="A26" s="8" t="s">
        <v>252</v>
      </c>
      <c r="B26" s="8" t="s">
        <v>253</v>
      </c>
      <c r="C26" s="40"/>
      <c r="D26" s="40"/>
      <c r="E26" s="40"/>
      <c r="F26" s="40" t="s">
        <v>226</v>
      </c>
      <c r="G26" s="40"/>
      <c r="H26" s="40"/>
    </row>
    <row r="27" spans="1:8" x14ac:dyDescent="0.25">
      <c r="A27" s="8" t="s">
        <v>252</v>
      </c>
      <c r="B27" s="8" t="s">
        <v>254</v>
      </c>
      <c r="C27" s="40"/>
      <c r="D27" s="40"/>
      <c r="E27" s="40" t="s">
        <v>226</v>
      </c>
      <c r="F27" s="40"/>
      <c r="G27" s="40"/>
      <c r="H27" s="40"/>
    </row>
    <row r="28" spans="1:8" x14ac:dyDescent="0.25">
      <c r="A28" s="8" t="s">
        <v>252</v>
      </c>
      <c r="B28" s="8" t="s">
        <v>255</v>
      </c>
      <c r="C28" s="40"/>
      <c r="D28" s="40"/>
      <c r="E28" s="40" t="s">
        <v>226</v>
      </c>
      <c r="F28" s="40"/>
      <c r="G28" s="40"/>
      <c r="H28" s="40"/>
    </row>
    <row r="29" spans="1:8" x14ac:dyDescent="0.25">
      <c r="A29" s="8" t="s">
        <v>252</v>
      </c>
      <c r="B29" s="8" t="s">
        <v>256</v>
      </c>
      <c r="C29" s="40" t="s">
        <v>226</v>
      </c>
      <c r="D29" s="40"/>
      <c r="E29" s="40"/>
      <c r="F29" s="40"/>
      <c r="G29" s="40"/>
      <c r="H29" s="40"/>
    </row>
    <row r="30" spans="1:8" x14ac:dyDescent="0.25">
      <c r="A30" s="8" t="s">
        <v>252</v>
      </c>
      <c r="B30" s="8" t="s">
        <v>257</v>
      </c>
      <c r="C30" s="8"/>
      <c r="D30" s="8"/>
      <c r="E30" s="8" t="s">
        <v>226</v>
      </c>
      <c r="F30" s="8"/>
      <c r="G30" s="8"/>
      <c r="H30" s="8"/>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4"/>
  <sheetViews>
    <sheetView zoomScale="130" zoomScaleNormal="130" workbookViewId="0">
      <selection activeCell="H5" sqref="H5"/>
    </sheetView>
  </sheetViews>
  <sheetFormatPr defaultColWidth="8.85546875" defaultRowHeight="15" x14ac:dyDescent="0.25"/>
  <cols>
    <col min="1" max="1" width="31" customWidth="1"/>
    <col min="2" max="2" width="40.85546875" customWidth="1"/>
    <col min="3" max="3" width="12.42578125" bestFit="1" customWidth="1"/>
    <col min="4" max="4" width="16.42578125" customWidth="1"/>
    <col min="5" max="5" width="14.140625" customWidth="1"/>
    <col min="6" max="6" width="8.7109375" bestFit="1" customWidth="1"/>
    <col min="7" max="7" width="9" bestFit="1" customWidth="1"/>
    <col min="8" max="8" width="19" customWidth="1"/>
    <col min="9" max="9" width="10.7109375" bestFit="1" customWidth="1"/>
    <col min="10" max="10" width="8.140625" bestFit="1" customWidth="1"/>
    <col min="11" max="11" width="9.42578125" bestFit="1" customWidth="1"/>
  </cols>
  <sheetData>
    <row r="1" spans="1:17" ht="72" x14ac:dyDescent="0.25">
      <c r="A1" s="91" t="s">
        <v>258</v>
      </c>
      <c r="B1" s="92" t="s">
        <v>259</v>
      </c>
      <c r="C1" s="92" t="s">
        <v>260</v>
      </c>
      <c r="D1" s="92" t="s">
        <v>261</v>
      </c>
      <c r="E1" s="92" t="s">
        <v>262</v>
      </c>
      <c r="F1" s="92" t="s">
        <v>263</v>
      </c>
      <c r="G1" s="92" t="s">
        <v>264</v>
      </c>
      <c r="H1" s="92" t="s">
        <v>265</v>
      </c>
      <c r="I1" s="92" t="s">
        <v>266</v>
      </c>
      <c r="J1" s="92" t="s">
        <v>267</v>
      </c>
      <c r="K1" s="92" t="s">
        <v>268</v>
      </c>
    </row>
    <row r="2" spans="1:17" ht="75" x14ac:dyDescent="0.25">
      <c r="A2" s="76" t="s">
        <v>269</v>
      </c>
      <c r="B2" s="76" t="s">
        <v>270</v>
      </c>
      <c r="C2" s="81" t="s">
        <v>271</v>
      </c>
      <c r="D2" s="81" t="s">
        <v>272</v>
      </c>
      <c r="E2" s="81" t="s">
        <v>273</v>
      </c>
      <c r="F2" s="81" t="s">
        <v>273</v>
      </c>
      <c r="G2" s="81" t="s">
        <v>273</v>
      </c>
      <c r="H2" s="81" t="s">
        <v>274</v>
      </c>
      <c r="I2" s="82" t="s">
        <v>275</v>
      </c>
      <c r="J2" s="83" t="s">
        <v>276</v>
      </c>
      <c r="K2" s="81"/>
    </row>
    <row r="3" spans="1:17" x14ac:dyDescent="0.25">
      <c r="A3" s="79"/>
      <c r="B3" s="84"/>
      <c r="C3" s="85"/>
      <c r="D3" s="85"/>
      <c r="E3" s="85"/>
      <c r="F3" s="79"/>
      <c r="G3" s="79"/>
      <c r="H3" s="79"/>
      <c r="I3" s="79"/>
      <c r="J3" s="79"/>
      <c r="K3" s="79"/>
    </row>
    <row r="4" spans="1:17" ht="24" x14ac:dyDescent="0.25">
      <c r="A4" s="76" t="s">
        <v>277</v>
      </c>
      <c r="B4" s="80" t="s">
        <v>278</v>
      </c>
      <c r="C4" s="76" t="s">
        <v>279</v>
      </c>
      <c r="D4" s="76" t="s">
        <v>280</v>
      </c>
      <c r="E4" s="76"/>
      <c r="F4" s="76" t="s">
        <v>63</v>
      </c>
      <c r="G4" s="76" t="s">
        <v>281</v>
      </c>
      <c r="H4" s="76" t="s">
        <v>282</v>
      </c>
      <c r="I4" s="76" t="s">
        <v>155</v>
      </c>
      <c r="J4" s="86"/>
      <c r="K4" s="86"/>
      <c r="P4" s="27"/>
      <c r="Q4" s="27"/>
    </row>
    <row r="5" spans="1:17" ht="57" customHeight="1" x14ac:dyDescent="0.25">
      <c r="A5" s="76" t="s">
        <v>277</v>
      </c>
      <c r="B5" s="80" t="s">
        <v>283</v>
      </c>
      <c r="C5" s="76" t="s">
        <v>284</v>
      </c>
      <c r="D5" s="76" t="s">
        <v>285</v>
      </c>
      <c r="E5" s="107" t="s">
        <v>286</v>
      </c>
      <c r="F5" s="76" t="s">
        <v>63</v>
      </c>
      <c r="G5" s="76" t="s">
        <v>281</v>
      </c>
      <c r="H5" s="76"/>
      <c r="I5" s="87"/>
      <c r="J5" s="86"/>
      <c r="K5" s="86"/>
    </row>
    <row r="6" spans="1:17" x14ac:dyDescent="0.25">
      <c r="A6" s="88" t="s">
        <v>287</v>
      </c>
      <c r="B6" s="79"/>
      <c r="C6" s="79"/>
      <c r="D6" s="79"/>
      <c r="E6" s="79"/>
      <c r="F6" s="79"/>
      <c r="G6" s="79"/>
      <c r="H6" s="79"/>
      <c r="I6" s="79"/>
      <c r="J6" s="79"/>
      <c r="K6" s="79"/>
    </row>
    <row r="7" spans="1:17" s="26" customFormat="1" ht="24" x14ac:dyDescent="0.25">
      <c r="A7" s="80" t="s">
        <v>288</v>
      </c>
      <c r="B7" s="80" t="s">
        <v>289</v>
      </c>
      <c r="C7" s="76" t="s">
        <v>290</v>
      </c>
      <c r="D7" s="76" t="s">
        <v>291</v>
      </c>
      <c r="E7" s="76" t="s">
        <v>292</v>
      </c>
      <c r="F7" s="76" t="s">
        <v>63</v>
      </c>
      <c r="G7" s="76" t="s">
        <v>281</v>
      </c>
      <c r="H7" s="76"/>
      <c r="I7" s="87"/>
      <c r="J7" s="89"/>
      <c r="K7" s="89"/>
    </row>
    <row r="8" spans="1:17" s="26" customFormat="1" ht="24" x14ac:dyDescent="0.25">
      <c r="A8" s="80" t="s">
        <v>293</v>
      </c>
      <c r="B8" s="80" t="s">
        <v>294</v>
      </c>
      <c r="C8" s="76" t="s">
        <v>290</v>
      </c>
      <c r="D8" s="76" t="s">
        <v>295</v>
      </c>
      <c r="E8" s="76" t="s">
        <v>296</v>
      </c>
      <c r="F8" s="76" t="s">
        <v>63</v>
      </c>
      <c r="G8" s="76" t="s">
        <v>281</v>
      </c>
      <c r="H8" s="90"/>
      <c r="I8" s="90"/>
      <c r="J8" s="89"/>
      <c r="K8" s="89"/>
    </row>
    <row r="9" spans="1:17" s="26" customFormat="1" ht="72" x14ac:dyDescent="0.25">
      <c r="A9" s="80" t="s">
        <v>297</v>
      </c>
      <c r="B9" s="80" t="s">
        <v>298</v>
      </c>
      <c r="C9" s="76" t="s">
        <v>299</v>
      </c>
      <c r="D9" s="76" t="s">
        <v>295</v>
      </c>
      <c r="E9" s="76"/>
      <c r="F9" s="76" t="s">
        <v>63</v>
      </c>
      <c r="G9" s="76" t="s">
        <v>281</v>
      </c>
      <c r="H9" s="90"/>
      <c r="I9" s="90"/>
      <c r="J9" s="89"/>
      <c r="K9" s="89"/>
    </row>
    <row r="10" spans="1:17" ht="24" x14ac:dyDescent="0.25">
      <c r="A10" s="80" t="s">
        <v>288</v>
      </c>
      <c r="B10" s="80" t="s">
        <v>289</v>
      </c>
      <c r="C10" s="76" t="s">
        <v>290</v>
      </c>
      <c r="D10" s="76" t="s">
        <v>291</v>
      </c>
      <c r="E10" s="76"/>
      <c r="F10" s="76" t="s">
        <v>63</v>
      </c>
      <c r="G10" s="76" t="s">
        <v>281</v>
      </c>
      <c r="H10" s="76"/>
      <c r="I10" s="87"/>
      <c r="J10" s="76"/>
      <c r="K10" s="76"/>
    </row>
    <row r="11" spans="1:17" ht="24" x14ac:dyDescent="0.25">
      <c r="A11" s="80" t="s">
        <v>293</v>
      </c>
      <c r="B11" s="80" t="s">
        <v>294</v>
      </c>
      <c r="C11" s="76" t="s">
        <v>290</v>
      </c>
      <c r="D11" s="76" t="s">
        <v>295</v>
      </c>
      <c r="E11" s="76"/>
      <c r="F11" s="76" t="s">
        <v>63</v>
      </c>
      <c r="G11" s="76" t="s">
        <v>281</v>
      </c>
      <c r="H11" s="76"/>
      <c r="I11" s="87"/>
      <c r="J11" s="76"/>
      <c r="K11" s="76"/>
    </row>
    <row r="12" spans="1:17" ht="72" x14ac:dyDescent="0.25">
      <c r="A12" s="80" t="s">
        <v>297</v>
      </c>
      <c r="B12" s="80" t="s">
        <v>298</v>
      </c>
      <c r="C12" s="76" t="s">
        <v>299</v>
      </c>
      <c r="D12" s="76" t="s">
        <v>295</v>
      </c>
      <c r="E12" s="76"/>
      <c r="F12" s="76" t="s">
        <v>63</v>
      </c>
      <c r="G12" s="76" t="s">
        <v>281</v>
      </c>
      <c r="H12" s="76"/>
      <c r="I12" s="87"/>
      <c r="J12" s="76"/>
      <c r="K12" s="76"/>
    </row>
    <row r="13" spans="1:17" ht="48" x14ac:dyDescent="0.25">
      <c r="A13" s="93" t="s">
        <v>300</v>
      </c>
      <c r="B13" s="93" t="s">
        <v>259</v>
      </c>
      <c r="C13" s="93" t="s">
        <v>260</v>
      </c>
      <c r="D13" s="93" t="s">
        <v>261</v>
      </c>
      <c r="E13" s="93"/>
      <c r="F13" s="93" t="s">
        <v>263</v>
      </c>
      <c r="G13" s="93" t="s">
        <v>264</v>
      </c>
      <c r="H13" s="93" t="s">
        <v>265</v>
      </c>
      <c r="I13" s="93" t="s">
        <v>301</v>
      </c>
      <c r="J13" s="93" t="s">
        <v>267</v>
      </c>
      <c r="K13" s="93"/>
    </row>
    <row r="14" spans="1:17" ht="24" x14ac:dyDescent="0.25">
      <c r="A14" s="146" t="s">
        <v>302</v>
      </c>
      <c r="B14" s="94" t="s">
        <v>303</v>
      </c>
      <c r="C14" s="81" t="s">
        <v>290</v>
      </c>
      <c r="D14" s="81" t="s">
        <v>304</v>
      </c>
      <c r="E14" s="81" t="s">
        <v>292</v>
      </c>
      <c r="F14" s="108" t="s">
        <v>63</v>
      </c>
      <c r="G14" s="76" t="s">
        <v>281</v>
      </c>
      <c r="H14" s="76"/>
      <c r="I14" s="87" t="s">
        <v>305</v>
      </c>
      <c r="J14" s="81"/>
      <c r="K14" s="81"/>
    </row>
    <row r="15" spans="1:17" ht="72" x14ac:dyDescent="0.25">
      <c r="A15" s="146"/>
      <c r="B15" s="80" t="s">
        <v>306</v>
      </c>
      <c r="C15" s="76" t="s">
        <v>307</v>
      </c>
      <c r="D15" s="76" t="s">
        <v>291</v>
      </c>
      <c r="E15" s="76" t="s">
        <v>286</v>
      </c>
      <c r="F15" s="108" t="s">
        <v>63</v>
      </c>
      <c r="G15" s="76" t="s">
        <v>281</v>
      </c>
      <c r="H15" s="76"/>
      <c r="I15" s="87" t="s">
        <v>305</v>
      </c>
      <c r="J15" s="76"/>
      <c r="K15" s="76"/>
    </row>
    <row r="16" spans="1:17" ht="72" x14ac:dyDescent="0.25">
      <c r="A16" s="146"/>
      <c r="B16" s="80" t="s">
        <v>308</v>
      </c>
      <c r="C16" s="76" t="s">
        <v>309</v>
      </c>
      <c r="D16" s="76" t="s">
        <v>310</v>
      </c>
      <c r="E16" s="76"/>
      <c r="F16" s="108" t="s">
        <v>63</v>
      </c>
      <c r="G16" s="76" t="s">
        <v>281</v>
      </c>
      <c r="H16" s="76" t="s">
        <v>102</v>
      </c>
      <c r="I16" s="76" t="s">
        <v>311</v>
      </c>
      <c r="J16" s="76"/>
      <c r="K16" s="76"/>
    </row>
    <row r="17" spans="1:12" s="112" customFormat="1" ht="90" x14ac:dyDescent="0.25">
      <c r="A17" s="80" t="s">
        <v>312</v>
      </c>
      <c r="B17" s="80" t="s">
        <v>313</v>
      </c>
      <c r="C17" s="76" t="s">
        <v>314</v>
      </c>
      <c r="D17" s="76" t="s">
        <v>315</v>
      </c>
      <c r="E17" s="76"/>
      <c r="F17" s="76" t="s">
        <v>63</v>
      </c>
      <c r="G17" s="76" t="s">
        <v>316</v>
      </c>
      <c r="H17" s="77" t="s">
        <v>317</v>
      </c>
      <c r="I17" s="110" t="s">
        <v>318</v>
      </c>
      <c r="J17" s="76"/>
      <c r="K17" s="76"/>
      <c r="L17" s="111"/>
    </row>
    <row r="18" spans="1:12" x14ac:dyDescent="0.25">
      <c r="A18" s="147" t="s">
        <v>312</v>
      </c>
      <c r="B18" s="147" t="s">
        <v>319</v>
      </c>
      <c r="C18" s="145" t="s">
        <v>320</v>
      </c>
      <c r="D18" s="145" t="s">
        <v>321</v>
      </c>
      <c r="E18" s="144"/>
      <c r="F18" s="145" t="s">
        <v>63</v>
      </c>
      <c r="G18" s="145" t="s">
        <v>281</v>
      </c>
      <c r="H18" s="145" t="s">
        <v>102</v>
      </c>
      <c r="I18" s="145"/>
      <c r="J18" s="143"/>
      <c r="K18" s="143"/>
    </row>
    <row r="19" spans="1:12" x14ac:dyDescent="0.25">
      <c r="A19" s="147"/>
      <c r="B19" s="147"/>
      <c r="C19" s="145"/>
      <c r="D19" s="145"/>
      <c r="E19" s="144"/>
      <c r="F19" s="145"/>
      <c r="G19" s="145"/>
      <c r="H19" s="145"/>
      <c r="I19" s="145"/>
      <c r="J19" s="143"/>
      <c r="K19" s="143"/>
    </row>
    <row r="20" spans="1:12" ht="24" x14ac:dyDescent="0.25">
      <c r="A20" s="74" t="s">
        <v>312</v>
      </c>
      <c r="B20" s="74" t="s">
        <v>322</v>
      </c>
      <c r="C20" s="75" t="s">
        <v>314</v>
      </c>
      <c r="D20" s="75" t="s">
        <v>272</v>
      </c>
      <c r="E20" s="75"/>
      <c r="F20" s="75" t="s">
        <v>63</v>
      </c>
      <c r="G20" s="75" t="s">
        <v>281</v>
      </c>
      <c r="H20" s="75" t="s">
        <v>102</v>
      </c>
      <c r="I20" s="75" t="s">
        <v>323</v>
      </c>
      <c r="J20" s="76"/>
      <c r="K20" s="76"/>
    </row>
    <row r="21" spans="1:12" x14ac:dyDescent="0.25">
      <c r="A21" s="78"/>
      <c r="B21" s="78"/>
      <c r="C21" s="78"/>
      <c r="D21" s="78"/>
      <c r="E21" s="78"/>
      <c r="F21" s="78"/>
      <c r="G21" s="78"/>
      <c r="H21" s="78"/>
      <c r="I21" s="78"/>
      <c r="J21" s="79"/>
      <c r="K21" s="79"/>
    </row>
    <row r="22" spans="1:12" x14ac:dyDescent="0.25">
      <c r="H22" s="39"/>
    </row>
    <row r="23" spans="1:12" x14ac:dyDescent="0.25">
      <c r="H23" s="39"/>
    </row>
    <row r="24" spans="1:12" x14ac:dyDescent="0.25">
      <c r="H24" s="39"/>
    </row>
  </sheetData>
  <mergeCells count="12">
    <mergeCell ref="A14:A16"/>
    <mergeCell ref="A18:A19"/>
    <mergeCell ref="B18:B19"/>
    <mergeCell ref="C18:C19"/>
    <mergeCell ref="D18:D19"/>
    <mergeCell ref="K18:K19"/>
    <mergeCell ref="E18:E19"/>
    <mergeCell ref="F18:F19"/>
    <mergeCell ref="G18:G19"/>
    <mergeCell ref="H18:H19"/>
    <mergeCell ref="I18:I19"/>
    <mergeCell ref="J18:J19"/>
  </mergeCells>
  <hyperlinks>
    <hyperlink ref="I2" r:id="rId1" display="mailto:%3cdavid.cervantes@hi.no"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0FB3B-2241-4CC2-93AB-FE4D0C64E7FA}">
  <dimension ref="A1:Y24"/>
  <sheetViews>
    <sheetView workbookViewId="0">
      <selection activeCell="B3" sqref="B3"/>
    </sheetView>
  </sheetViews>
  <sheetFormatPr defaultColWidth="8.85546875" defaultRowHeight="15" x14ac:dyDescent="0.25"/>
  <cols>
    <col min="1" max="1" width="31" customWidth="1"/>
    <col min="2" max="2" width="40.85546875" customWidth="1"/>
    <col min="3" max="3" width="12.42578125" bestFit="1" customWidth="1"/>
    <col min="4" max="4" width="16.42578125" customWidth="1"/>
    <col min="5" max="5" width="12" customWidth="1"/>
    <col min="6" max="6" width="8.7109375" bestFit="1" customWidth="1"/>
    <col min="7" max="7" width="9" bestFit="1" customWidth="1"/>
    <col min="8" max="8" width="19" customWidth="1"/>
    <col min="9" max="9" width="14.140625" customWidth="1"/>
    <col min="10" max="10" width="8.140625" bestFit="1" customWidth="1"/>
    <col min="11" max="11" width="9.42578125" bestFit="1" customWidth="1"/>
  </cols>
  <sheetData>
    <row r="1" spans="1:25" ht="72" x14ac:dyDescent="0.25">
      <c r="A1" s="91" t="s">
        <v>300</v>
      </c>
      <c r="B1" s="92" t="s">
        <v>259</v>
      </c>
      <c r="C1" s="92" t="s">
        <v>260</v>
      </c>
      <c r="D1" s="92" t="s">
        <v>261</v>
      </c>
      <c r="E1" s="92" t="s">
        <v>262</v>
      </c>
      <c r="F1" s="92" t="s">
        <v>263</v>
      </c>
      <c r="G1" s="92" t="s">
        <v>264</v>
      </c>
      <c r="H1" s="92" t="s">
        <v>265</v>
      </c>
      <c r="I1" s="92" t="s">
        <v>324</v>
      </c>
      <c r="J1" s="92" t="s">
        <v>267</v>
      </c>
      <c r="K1" s="92" t="s">
        <v>268</v>
      </c>
    </row>
    <row r="2" spans="1:25" ht="60" x14ac:dyDescent="0.25">
      <c r="A2" s="76" t="s">
        <v>269</v>
      </c>
      <c r="B2" s="76" t="s">
        <v>270</v>
      </c>
      <c r="C2" s="81" t="s">
        <v>271</v>
      </c>
      <c r="D2" s="81" t="s">
        <v>272</v>
      </c>
      <c r="E2" s="81" t="s">
        <v>273</v>
      </c>
      <c r="F2" s="81" t="s">
        <v>273</v>
      </c>
      <c r="G2" s="81" t="s">
        <v>273</v>
      </c>
      <c r="H2" s="81" t="s">
        <v>274</v>
      </c>
      <c r="I2" s="82" t="s">
        <v>275</v>
      </c>
      <c r="J2" s="83" t="s">
        <v>276</v>
      </c>
      <c r="K2" s="81"/>
    </row>
    <row r="3" spans="1:25" ht="24" x14ac:dyDescent="0.25">
      <c r="A3" s="76" t="s">
        <v>269</v>
      </c>
      <c r="B3" s="76" t="s">
        <v>203</v>
      </c>
      <c r="C3" s="81" t="s">
        <v>271</v>
      </c>
      <c r="D3" s="81"/>
      <c r="E3" s="81"/>
      <c r="F3" s="81"/>
      <c r="G3" s="81"/>
      <c r="H3" s="81"/>
      <c r="I3" s="82"/>
      <c r="J3" s="83"/>
      <c r="K3" s="81"/>
    </row>
    <row r="4" spans="1:25" x14ac:dyDescent="0.25">
      <c r="A4" s="79"/>
      <c r="B4" s="84"/>
      <c r="C4" s="85"/>
      <c r="D4" s="85"/>
      <c r="E4" s="85"/>
      <c r="F4" s="79"/>
      <c r="G4" s="79"/>
      <c r="H4" s="79"/>
      <c r="I4" s="79"/>
      <c r="J4" s="79"/>
      <c r="K4" s="79"/>
    </row>
    <row r="5" spans="1:25" ht="24" x14ac:dyDescent="0.25">
      <c r="A5" s="76" t="s">
        <v>277</v>
      </c>
      <c r="B5" s="80" t="s">
        <v>278</v>
      </c>
      <c r="C5" s="76" t="s">
        <v>279</v>
      </c>
      <c r="D5" s="76" t="s">
        <v>280</v>
      </c>
      <c r="E5" s="76"/>
      <c r="F5" s="76" t="s">
        <v>63</v>
      </c>
      <c r="G5" s="76" t="s">
        <v>281</v>
      </c>
      <c r="H5" s="76" t="s">
        <v>282</v>
      </c>
      <c r="I5" s="76" t="s">
        <v>155</v>
      </c>
      <c r="J5" s="86"/>
      <c r="K5" s="86"/>
    </row>
    <row r="6" spans="1:25" ht="57" customHeight="1" x14ac:dyDescent="0.25">
      <c r="A6" s="76" t="s">
        <v>277</v>
      </c>
      <c r="B6" s="80" t="s">
        <v>283</v>
      </c>
      <c r="C6" s="76" t="s">
        <v>284</v>
      </c>
      <c r="D6" s="76" t="s">
        <v>285</v>
      </c>
      <c r="E6" s="107" t="s">
        <v>286</v>
      </c>
      <c r="F6" s="76" t="s">
        <v>63</v>
      </c>
      <c r="G6" s="76" t="s">
        <v>281</v>
      </c>
      <c r="H6" s="76"/>
      <c r="I6" s="87"/>
      <c r="J6" s="86"/>
      <c r="K6" s="86"/>
    </row>
    <row r="7" spans="1:25" x14ac:dyDescent="0.25">
      <c r="A7" s="88" t="s">
        <v>287</v>
      </c>
      <c r="B7" s="79"/>
      <c r="C7" s="79"/>
      <c r="D7" s="79"/>
      <c r="E7" s="79"/>
      <c r="F7" s="79"/>
      <c r="G7" s="79"/>
      <c r="H7" s="79"/>
      <c r="I7" s="79"/>
      <c r="J7" s="79"/>
      <c r="K7" s="79"/>
    </row>
    <row r="8" spans="1:25" s="26" customFormat="1" ht="24" x14ac:dyDescent="0.25">
      <c r="A8" s="80" t="s">
        <v>325</v>
      </c>
      <c r="B8" s="80" t="s">
        <v>289</v>
      </c>
      <c r="C8" s="76" t="s">
        <v>290</v>
      </c>
      <c r="D8" s="76" t="s">
        <v>291</v>
      </c>
      <c r="E8" s="76" t="s">
        <v>292</v>
      </c>
      <c r="F8" s="76" t="s">
        <v>63</v>
      </c>
      <c r="G8" s="76" t="s">
        <v>281</v>
      </c>
      <c r="H8" s="76"/>
      <c r="I8" s="87"/>
      <c r="J8" s="89"/>
      <c r="K8" s="89"/>
      <c r="L8"/>
      <c r="M8"/>
      <c r="N8"/>
      <c r="O8"/>
      <c r="P8"/>
      <c r="Q8"/>
      <c r="R8"/>
      <c r="S8"/>
      <c r="T8"/>
      <c r="U8"/>
      <c r="V8"/>
      <c r="W8"/>
      <c r="X8"/>
      <c r="Y8"/>
    </row>
    <row r="9" spans="1:25" s="26" customFormat="1" ht="24" x14ac:dyDescent="0.25">
      <c r="A9" s="101" t="s">
        <v>326</v>
      </c>
      <c r="B9" s="101" t="s">
        <v>294</v>
      </c>
      <c r="C9" s="102" t="s">
        <v>290</v>
      </c>
      <c r="D9" s="102" t="s">
        <v>295</v>
      </c>
      <c r="E9" s="76" t="s">
        <v>296</v>
      </c>
      <c r="F9" s="102" t="s">
        <v>63</v>
      </c>
      <c r="G9" s="102" t="s">
        <v>281</v>
      </c>
      <c r="H9" s="103"/>
      <c r="I9" s="103"/>
      <c r="J9" s="104"/>
      <c r="K9" s="89"/>
      <c r="L9"/>
      <c r="M9"/>
      <c r="N9"/>
      <c r="O9"/>
      <c r="P9"/>
      <c r="Q9"/>
      <c r="R9"/>
      <c r="S9"/>
      <c r="T9"/>
      <c r="U9"/>
      <c r="V9"/>
      <c r="W9"/>
      <c r="X9"/>
      <c r="Y9"/>
    </row>
    <row r="10" spans="1:25" s="26" customFormat="1" ht="72" x14ac:dyDescent="0.25">
      <c r="A10" s="80" t="s">
        <v>327</v>
      </c>
      <c r="B10" s="80" t="s">
        <v>298</v>
      </c>
      <c r="C10" s="76" t="s">
        <v>299</v>
      </c>
      <c r="D10" s="76" t="s">
        <v>295</v>
      </c>
      <c r="E10" s="76"/>
      <c r="F10" s="76" t="s">
        <v>63</v>
      </c>
      <c r="G10" s="76" t="s">
        <v>281</v>
      </c>
      <c r="H10" s="90"/>
      <c r="I10" s="90"/>
      <c r="J10" s="89"/>
      <c r="K10" s="95"/>
      <c r="L10"/>
      <c r="M10"/>
      <c r="N10"/>
      <c r="O10"/>
      <c r="P10"/>
      <c r="Q10"/>
      <c r="R10"/>
      <c r="S10"/>
      <c r="T10"/>
      <c r="U10"/>
      <c r="V10"/>
      <c r="W10"/>
      <c r="X10"/>
      <c r="Y10"/>
    </row>
    <row r="11" spans="1:25" ht="24" x14ac:dyDescent="0.25">
      <c r="A11" s="80" t="s">
        <v>328</v>
      </c>
      <c r="B11" s="80" t="s">
        <v>289</v>
      </c>
      <c r="C11" s="76" t="s">
        <v>290</v>
      </c>
      <c r="D11" s="76" t="s">
        <v>291</v>
      </c>
      <c r="E11" s="76"/>
      <c r="F11" s="76" t="s">
        <v>63</v>
      </c>
      <c r="G11" s="76" t="s">
        <v>281</v>
      </c>
      <c r="H11" s="76"/>
      <c r="I11" s="87"/>
      <c r="J11" s="76"/>
      <c r="K11" s="96"/>
    </row>
    <row r="12" spans="1:25" ht="24" x14ac:dyDescent="0.25">
      <c r="A12" s="80" t="s">
        <v>329</v>
      </c>
      <c r="B12" s="80" t="s">
        <v>294</v>
      </c>
      <c r="C12" s="76" t="s">
        <v>290</v>
      </c>
      <c r="D12" s="76" t="s">
        <v>295</v>
      </c>
      <c r="E12" s="76"/>
      <c r="F12" s="76" t="s">
        <v>63</v>
      </c>
      <c r="G12" s="76" t="s">
        <v>281</v>
      </c>
      <c r="H12" s="76"/>
      <c r="I12" s="87"/>
      <c r="J12" s="76"/>
      <c r="K12" s="97"/>
    </row>
    <row r="13" spans="1:25" ht="72" x14ac:dyDescent="0.25">
      <c r="A13" s="80" t="s">
        <v>330</v>
      </c>
      <c r="B13" s="80" t="s">
        <v>298</v>
      </c>
      <c r="C13" s="76" t="s">
        <v>299</v>
      </c>
      <c r="D13" s="76" t="s">
        <v>295</v>
      </c>
      <c r="E13" s="76"/>
      <c r="F13" s="76" t="s">
        <v>63</v>
      </c>
      <c r="G13" s="76" t="s">
        <v>281</v>
      </c>
      <c r="H13" s="76"/>
      <c r="I13" s="87"/>
      <c r="J13" s="76"/>
      <c r="K13" s="97"/>
    </row>
    <row r="14" spans="1:25" ht="36" x14ac:dyDescent="0.25">
      <c r="A14" s="93" t="s">
        <v>300</v>
      </c>
      <c r="B14" s="93" t="s">
        <v>259</v>
      </c>
      <c r="C14" s="93" t="s">
        <v>260</v>
      </c>
      <c r="D14" s="93" t="s">
        <v>261</v>
      </c>
      <c r="E14" s="93"/>
      <c r="F14" s="93" t="s">
        <v>263</v>
      </c>
      <c r="G14" s="93" t="s">
        <v>264</v>
      </c>
      <c r="H14" s="93" t="s">
        <v>265</v>
      </c>
      <c r="I14" s="93" t="s">
        <v>331</v>
      </c>
      <c r="J14" s="93" t="s">
        <v>267</v>
      </c>
      <c r="K14" s="98"/>
    </row>
    <row r="15" spans="1:25" ht="30" x14ac:dyDescent="0.25">
      <c r="A15" s="146" t="s">
        <v>302</v>
      </c>
      <c r="B15" s="94" t="s">
        <v>303</v>
      </c>
      <c r="C15" s="81" t="s">
        <v>290</v>
      </c>
      <c r="D15" s="81" t="s">
        <v>304</v>
      </c>
      <c r="E15" s="81" t="s">
        <v>292</v>
      </c>
      <c r="F15" s="77" t="s">
        <v>63</v>
      </c>
      <c r="G15" s="76" t="s">
        <v>281</v>
      </c>
      <c r="H15" s="76"/>
      <c r="I15" s="87" t="s">
        <v>305</v>
      </c>
      <c r="J15" s="81"/>
      <c r="K15" s="99"/>
    </row>
    <row r="16" spans="1:25" ht="72" x14ac:dyDescent="0.25">
      <c r="A16" s="146"/>
      <c r="B16" s="80" t="s">
        <v>306</v>
      </c>
      <c r="C16" s="76" t="s">
        <v>307</v>
      </c>
      <c r="D16" s="76" t="s">
        <v>291</v>
      </c>
      <c r="E16" s="76" t="s">
        <v>286</v>
      </c>
      <c r="F16" s="77" t="s">
        <v>63</v>
      </c>
      <c r="G16" s="76" t="s">
        <v>281</v>
      </c>
      <c r="H16" s="76"/>
      <c r="I16" s="87" t="s">
        <v>305</v>
      </c>
      <c r="J16" s="76"/>
      <c r="K16" s="97"/>
    </row>
    <row r="17" spans="1:11" ht="72" x14ac:dyDescent="0.25">
      <c r="A17" s="146"/>
      <c r="B17" s="80" t="s">
        <v>308</v>
      </c>
      <c r="C17" s="76" t="s">
        <v>309</v>
      </c>
      <c r="D17" s="76" t="s">
        <v>310</v>
      </c>
      <c r="E17" s="76"/>
      <c r="F17" s="77" t="s">
        <v>63</v>
      </c>
      <c r="G17" s="76" t="s">
        <v>281</v>
      </c>
      <c r="H17" s="76" t="s">
        <v>102</v>
      </c>
      <c r="I17" s="76" t="s">
        <v>311</v>
      </c>
      <c r="J17" s="76"/>
      <c r="K17" s="100"/>
    </row>
    <row r="18" spans="1:11" ht="60" x14ac:dyDescent="0.25">
      <c r="A18" s="105" t="s">
        <v>312</v>
      </c>
      <c r="B18" s="105" t="s">
        <v>313</v>
      </c>
      <c r="C18" s="106" t="s">
        <v>314</v>
      </c>
      <c r="D18" s="106" t="s">
        <v>315</v>
      </c>
      <c r="E18" s="76"/>
      <c r="F18" s="106" t="s">
        <v>63</v>
      </c>
      <c r="G18" s="106" t="s">
        <v>316</v>
      </c>
      <c r="H18" s="77" t="s">
        <v>317</v>
      </c>
      <c r="I18" s="110" t="s">
        <v>318</v>
      </c>
      <c r="J18" s="106"/>
      <c r="K18" s="76"/>
    </row>
    <row r="19" spans="1:11" ht="51" customHeight="1" x14ac:dyDescent="0.25">
      <c r="A19" s="74" t="s">
        <v>312</v>
      </c>
      <c r="B19" s="74" t="s">
        <v>319</v>
      </c>
      <c r="C19" s="75" t="s">
        <v>320</v>
      </c>
      <c r="D19" s="75" t="s">
        <v>321</v>
      </c>
      <c r="E19" s="109"/>
      <c r="F19" s="75" t="s">
        <v>63</v>
      </c>
      <c r="G19" s="75" t="s">
        <v>281</v>
      </c>
      <c r="H19" s="75" t="s">
        <v>102</v>
      </c>
      <c r="I19" s="75"/>
      <c r="J19" s="76"/>
      <c r="K19" s="76"/>
    </row>
    <row r="20" spans="1:11" ht="24" x14ac:dyDescent="0.25">
      <c r="A20" s="74" t="s">
        <v>312</v>
      </c>
      <c r="B20" s="74" t="s">
        <v>322</v>
      </c>
      <c r="C20" s="75" t="s">
        <v>314</v>
      </c>
      <c r="D20" s="75" t="s">
        <v>272</v>
      </c>
      <c r="E20" s="75"/>
      <c r="F20" s="75" t="s">
        <v>63</v>
      </c>
      <c r="G20" s="75" t="s">
        <v>281</v>
      </c>
      <c r="H20" s="75" t="s">
        <v>102</v>
      </c>
      <c r="I20" s="75" t="s">
        <v>323</v>
      </c>
      <c r="J20" s="76"/>
      <c r="K20" s="76"/>
    </row>
    <row r="21" spans="1:11" x14ac:dyDescent="0.25">
      <c r="A21" s="78"/>
      <c r="B21" s="78"/>
      <c r="C21" s="78"/>
      <c r="D21" s="78"/>
      <c r="E21" s="78"/>
      <c r="F21" s="78"/>
      <c r="G21" s="78"/>
      <c r="H21" s="78"/>
      <c r="I21" s="78"/>
      <c r="J21" s="79"/>
      <c r="K21" s="79"/>
    </row>
    <row r="22" spans="1:11" x14ac:dyDescent="0.25">
      <c r="H22" s="39"/>
    </row>
    <row r="23" spans="1:11" x14ac:dyDescent="0.25">
      <c r="H23" s="39"/>
    </row>
    <row r="24" spans="1:11" x14ac:dyDescent="0.25">
      <c r="H24" s="39"/>
    </row>
  </sheetData>
  <mergeCells count="1">
    <mergeCell ref="A15:A17"/>
  </mergeCells>
  <hyperlinks>
    <hyperlink ref="I2" r:id="rId1" display="mailto:%3cdavid.cervantes@hi.no" xr:uid="{E996E9D5-23EB-4521-8027-A45A1D3A5C8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6"/>
  <sheetViews>
    <sheetView workbookViewId="0">
      <selection activeCell="G23" sqref="G23"/>
    </sheetView>
  </sheetViews>
  <sheetFormatPr defaultColWidth="8.85546875" defaultRowHeight="15" x14ac:dyDescent="0.25"/>
  <cols>
    <col min="1" max="1" width="6.85546875" bestFit="1" customWidth="1"/>
    <col min="2" max="2" width="22.85546875" customWidth="1"/>
    <col min="3" max="3" width="57" customWidth="1"/>
  </cols>
  <sheetData>
    <row r="1" spans="1:3" ht="15.75" thickBot="1" x14ac:dyDescent="0.3">
      <c r="A1" s="2" t="s">
        <v>332</v>
      </c>
      <c r="B1" s="3" t="s">
        <v>333</v>
      </c>
      <c r="C1" s="3" t="s">
        <v>334</v>
      </c>
    </row>
    <row r="2" spans="1:3" ht="43.5" thickBot="1" x14ac:dyDescent="0.3">
      <c r="A2" s="4" t="s">
        <v>335</v>
      </c>
      <c r="B2" s="5" t="s">
        <v>336</v>
      </c>
      <c r="C2" s="5" t="s">
        <v>337</v>
      </c>
    </row>
    <row r="3" spans="1:3" ht="43.5" thickBot="1" x14ac:dyDescent="0.3">
      <c r="A3" s="4" t="s">
        <v>338</v>
      </c>
      <c r="B3" s="5" t="s">
        <v>339</v>
      </c>
      <c r="C3" s="5" t="s">
        <v>340</v>
      </c>
    </row>
    <row r="4" spans="1:3" ht="57.75" thickBot="1" x14ac:dyDescent="0.3">
      <c r="A4" s="4" t="s">
        <v>341</v>
      </c>
      <c r="B4" s="5" t="s">
        <v>342</v>
      </c>
      <c r="C4" s="5" t="s">
        <v>343</v>
      </c>
    </row>
    <row r="5" spans="1:3" ht="57.75" thickBot="1" x14ac:dyDescent="0.3">
      <c r="A5" s="4" t="s">
        <v>344</v>
      </c>
      <c r="B5" s="5" t="s">
        <v>345</v>
      </c>
      <c r="C5" s="5" t="s">
        <v>346</v>
      </c>
    </row>
    <row r="6" spans="1:3" ht="57.75" thickBot="1" x14ac:dyDescent="0.3">
      <c r="A6" s="4" t="s">
        <v>347</v>
      </c>
      <c r="B6" s="5" t="s">
        <v>348</v>
      </c>
      <c r="C6" s="5" t="s">
        <v>349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4"/>
  <sheetViews>
    <sheetView workbookViewId="0">
      <selection activeCell="A7" activeCellId="1" sqref="A4:XFD4 A7:XFD7"/>
    </sheetView>
  </sheetViews>
  <sheetFormatPr defaultColWidth="8.85546875" defaultRowHeight="15" x14ac:dyDescent="0.25"/>
  <cols>
    <col min="1" max="1" width="18.140625" bestFit="1" customWidth="1"/>
  </cols>
  <sheetData>
    <row r="1" spans="1:8" ht="30" customHeight="1" x14ac:dyDescent="0.25">
      <c r="A1" s="20" t="s">
        <v>350</v>
      </c>
      <c r="B1" s="21" t="s">
        <v>351</v>
      </c>
      <c r="C1" s="21" t="s">
        <v>352</v>
      </c>
      <c r="D1" s="21" t="s">
        <v>353</v>
      </c>
      <c r="E1" s="21"/>
      <c r="F1" s="21"/>
      <c r="G1" s="21"/>
      <c r="H1" s="21"/>
    </row>
    <row r="2" spans="1:8" ht="23.25" customHeight="1" x14ac:dyDescent="0.25">
      <c r="A2" s="22" t="s">
        <v>354</v>
      </c>
      <c r="B2" s="23" t="s">
        <v>355</v>
      </c>
      <c r="C2" s="23" t="s">
        <v>355</v>
      </c>
      <c r="D2" s="23" t="s">
        <v>355</v>
      </c>
      <c r="E2" s="23"/>
      <c r="F2" s="23"/>
      <c r="G2" s="23"/>
      <c r="H2" s="23"/>
    </row>
    <row r="3" spans="1:8" ht="25.5" x14ac:dyDescent="0.25">
      <c r="A3" s="22" t="s">
        <v>356</v>
      </c>
      <c r="B3" s="23" t="s">
        <v>355</v>
      </c>
      <c r="C3" s="23" t="s">
        <v>355</v>
      </c>
      <c r="D3" s="23" t="s">
        <v>355</v>
      </c>
      <c r="E3" s="23"/>
      <c r="F3" s="23"/>
      <c r="G3" s="23"/>
      <c r="H3" s="23"/>
    </row>
    <row r="4" spans="1:8" x14ac:dyDescent="0.25">
      <c r="A4" s="22" t="s">
        <v>357</v>
      </c>
      <c r="B4" s="23" t="s">
        <v>355</v>
      </c>
      <c r="C4" s="23" t="s">
        <v>355</v>
      </c>
      <c r="D4" s="23" t="s">
        <v>355</v>
      </c>
      <c r="E4" s="23"/>
      <c r="F4" s="23"/>
      <c r="G4" s="23"/>
      <c r="H4" s="23"/>
    </row>
    <row r="5" spans="1:8" x14ac:dyDescent="0.25">
      <c r="A5" s="22" t="s">
        <v>358</v>
      </c>
      <c r="B5" s="23" t="s">
        <v>355</v>
      </c>
      <c r="C5" s="23" t="s">
        <v>355</v>
      </c>
      <c r="D5" s="23" t="s">
        <v>355</v>
      </c>
      <c r="E5" s="23"/>
      <c r="F5" s="23"/>
      <c r="G5" s="23"/>
      <c r="H5" s="23"/>
    </row>
    <row r="6" spans="1:8" ht="34.5" customHeight="1" x14ac:dyDescent="0.25">
      <c r="A6" s="22" t="s">
        <v>359</v>
      </c>
      <c r="B6" s="23" t="s">
        <v>355</v>
      </c>
      <c r="C6" s="23" t="s">
        <v>355</v>
      </c>
      <c r="D6" s="23" t="s">
        <v>355</v>
      </c>
      <c r="E6" s="23"/>
      <c r="F6" s="23"/>
      <c r="G6" s="23"/>
      <c r="H6" s="23"/>
    </row>
    <row r="7" spans="1:8" x14ac:dyDescent="0.25">
      <c r="A7" s="22" t="s">
        <v>360</v>
      </c>
      <c r="B7" s="23" t="s">
        <v>355</v>
      </c>
      <c r="C7" s="23" t="s">
        <v>355</v>
      </c>
      <c r="D7" s="23" t="s">
        <v>355</v>
      </c>
      <c r="E7" s="23"/>
      <c r="F7" s="23"/>
      <c r="G7" s="23"/>
      <c r="H7" s="23"/>
    </row>
    <row r="8" spans="1:8" ht="34.5" customHeight="1" x14ac:dyDescent="0.25">
      <c r="A8" s="22" t="s">
        <v>361</v>
      </c>
      <c r="B8" s="23" t="s">
        <v>355</v>
      </c>
      <c r="C8" s="23" t="s">
        <v>355</v>
      </c>
      <c r="D8" s="23" t="s">
        <v>355</v>
      </c>
      <c r="E8" s="23"/>
      <c r="F8" s="23"/>
      <c r="G8" s="23"/>
      <c r="H8" s="23"/>
    </row>
    <row r="9" spans="1:8" ht="34.5" customHeight="1" x14ac:dyDescent="0.25">
      <c r="A9" s="22" t="s">
        <v>362</v>
      </c>
      <c r="B9" s="23" t="s">
        <v>355</v>
      </c>
      <c r="C9" s="23" t="s">
        <v>355</v>
      </c>
      <c r="D9" s="23" t="s">
        <v>363</v>
      </c>
      <c r="E9" s="23"/>
      <c r="F9" s="23"/>
      <c r="G9" s="23"/>
      <c r="H9" s="23"/>
    </row>
    <row r="10" spans="1:8" ht="25.5" x14ac:dyDescent="0.25">
      <c r="A10" s="19" t="s">
        <v>364</v>
      </c>
      <c r="B10" s="23" t="s">
        <v>355</v>
      </c>
      <c r="C10" s="23" t="s">
        <v>355</v>
      </c>
    </row>
    <row r="11" spans="1:8" x14ac:dyDescent="0.25">
      <c r="A11" s="24"/>
      <c r="B11" s="23"/>
      <c r="C11" s="23"/>
      <c r="D11" s="23"/>
      <c r="E11" s="23"/>
      <c r="F11" s="23"/>
      <c r="G11" s="23"/>
      <c r="H11" s="23"/>
    </row>
    <row r="12" spans="1:8" x14ac:dyDescent="0.25">
      <c r="A12" s="24"/>
      <c r="B12" s="23"/>
      <c r="C12" s="23"/>
      <c r="D12" s="23"/>
      <c r="E12" s="23"/>
      <c r="F12" s="23"/>
      <c r="G12" s="23"/>
      <c r="H12" s="23"/>
    </row>
    <row r="13" spans="1:8" x14ac:dyDescent="0.25">
      <c r="A13" s="24"/>
      <c r="B13" s="23"/>
      <c r="C13" s="23"/>
      <c r="D13" s="25"/>
      <c r="E13" s="25"/>
      <c r="F13" s="25"/>
      <c r="G13" s="25"/>
      <c r="H13" s="25"/>
    </row>
    <row r="14" spans="1:8" x14ac:dyDescent="0.25">
      <c r="A14" s="24"/>
      <c r="B14" s="23"/>
      <c r="C14" s="23"/>
      <c r="D14" s="25"/>
      <c r="E14" s="25"/>
      <c r="F14" s="25"/>
      <c r="G14" s="25"/>
      <c r="H14" s="25"/>
    </row>
    <row r="15" spans="1:8" x14ac:dyDescent="0.25">
      <c r="A15" s="24"/>
      <c r="B15" s="23"/>
      <c r="C15" s="23"/>
      <c r="D15" s="25"/>
      <c r="E15" s="25"/>
      <c r="F15" s="25"/>
      <c r="G15" s="25"/>
      <c r="H15" s="25"/>
    </row>
    <row r="16" spans="1:8" x14ac:dyDescent="0.25">
      <c r="A16" s="24"/>
      <c r="B16" s="23"/>
      <c r="C16" s="23"/>
      <c r="D16" s="25"/>
      <c r="E16" s="25"/>
      <c r="F16" s="25"/>
      <c r="G16" s="25"/>
      <c r="H16" s="25"/>
    </row>
    <row r="17" spans="1:8" x14ac:dyDescent="0.25">
      <c r="A17" s="24"/>
      <c r="B17" s="23"/>
      <c r="C17" s="23"/>
      <c r="D17" s="25"/>
      <c r="E17" s="25"/>
      <c r="F17" s="25"/>
      <c r="G17" s="25"/>
      <c r="H17" s="25"/>
    </row>
    <row r="18" spans="1:8" x14ac:dyDescent="0.25">
      <c r="A18" s="24"/>
      <c r="B18" s="23"/>
      <c r="C18" s="23"/>
      <c r="D18" s="25"/>
      <c r="E18" s="25"/>
      <c r="F18" s="25"/>
      <c r="G18" s="25"/>
      <c r="H18" s="25"/>
    </row>
    <row r="19" spans="1:8" x14ac:dyDescent="0.25">
      <c r="A19" s="24"/>
      <c r="B19" s="23"/>
      <c r="C19" s="23"/>
      <c r="D19" s="25"/>
      <c r="E19" s="25"/>
      <c r="F19" s="25"/>
      <c r="G19" s="25"/>
      <c r="H19" s="25"/>
    </row>
    <row r="20" spans="1:8" x14ac:dyDescent="0.25">
      <c r="A20" s="24"/>
      <c r="B20" s="23"/>
      <c r="C20" s="23"/>
      <c r="D20" s="25"/>
      <c r="E20" s="25"/>
      <c r="F20" s="25"/>
      <c r="G20" s="25"/>
      <c r="H20" s="25"/>
    </row>
    <row r="21" spans="1:8" x14ac:dyDescent="0.25">
      <c r="A21" s="24"/>
      <c r="B21" s="23"/>
      <c r="C21" s="23"/>
      <c r="D21" s="25"/>
      <c r="E21" s="25"/>
      <c r="F21" s="25"/>
      <c r="G21" s="25"/>
      <c r="H21" s="25"/>
    </row>
    <row r="22" spans="1:8" x14ac:dyDescent="0.25">
      <c r="A22" s="24"/>
      <c r="B22" s="23"/>
      <c r="C22" s="23"/>
      <c r="D22" s="25"/>
      <c r="E22" s="25"/>
      <c r="F22" s="25"/>
      <c r="G22" s="25"/>
      <c r="H22" s="25"/>
    </row>
    <row r="23" spans="1:8" x14ac:dyDescent="0.25">
      <c r="A23" s="24"/>
      <c r="B23" s="23"/>
      <c r="C23" s="23"/>
    </row>
    <row r="24" spans="1:8" x14ac:dyDescent="0.25">
      <c r="A24" s="19"/>
      <c r="B24" s="2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7"/>
  <sheetViews>
    <sheetView workbookViewId="0">
      <selection activeCell="C25" sqref="C25"/>
    </sheetView>
  </sheetViews>
  <sheetFormatPr defaultColWidth="8.85546875" defaultRowHeight="15" x14ac:dyDescent="0.25"/>
  <cols>
    <col min="1" max="1" width="6.85546875" bestFit="1" customWidth="1"/>
    <col min="2" max="2" width="10.42578125" bestFit="1" customWidth="1"/>
    <col min="3" max="3" width="21.140625" bestFit="1" customWidth="1"/>
    <col min="4" max="4" width="9" bestFit="1" customWidth="1"/>
    <col min="5" max="5" width="7.42578125" bestFit="1" customWidth="1"/>
    <col min="6" max="6" width="13.42578125" bestFit="1" customWidth="1"/>
    <col min="7" max="7" width="10.425781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48" t="s">
        <v>365</v>
      </c>
      <c r="B1" s="148"/>
      <c r="C1" s="148"/>
      <c r="D1" s="8"/>
      <c r="E1" s="8"/>
      <c r="F1" s="8"/>
      <c r="G1" s="8"/>
      <c r="H1" s="8"/>
      <c r="I1" s="8"/>
      <c r="J1" s="8"/>
      <c r="K1" s="8"/>
    </row>
    <row r="2" spans="1:11" x14ac:dyDescent="0.25">
      <c r="A2" s="8" t="s">
        <v>366</v>
      </c>
      <c r="B2" s="8" t="s">
        <v>367</v>
      </c>
      <c r="C2" s="8" t="s">
        <v>368</v>
      </c>
      <c r="D2" s="8" t="s">
        <v>369</v>
      </c>
      <c r="E2" s="8" t="s">
        <v>370</v>
      </c>
      <c r="F2" s="8" t="s">
        <v>371</v>
      </c>
      <c r="G2" s="8" t="s">
        <v>372</v>
      </c>
      <c r="H2" s="8" t="s">
        <v>373</v>
      </c>
      <c r="I2" s="8" t="s">
        <v>374</v>
      </c>
      <c r="J2" s="8" t="s">
        <v>375</v>
      </c>
      <c r="K2" s="8" t="s">
        <v>376</v>
      </c>
    </row>
    <row r="3" spans="1:11" x14ac:dyDescent="0.25">
      <c r="A3" s="8" t="s">
        <v>377</v>
      </c>
      <c r="B3" s="8" t="s">
        <v>377</v>
      </c>
      <c r="C3" s="8" t="s">
        <v>377</v>
      </c>
      <c r="D3" s="8" t="s">
        <v>377</v>
      </c>
      <c r="E3" s="8" t="s">
        <v>377</v>
      </c>
      <c r="F3" s="8" t="s">
        <v>377</v>
      </c>
      <c r="G3" s="8" t="s">
        <v>377</v>
      </c>
      <c r="H3" s="8" t="s">
        <v>377</v>
      </c>
      <c r="I3" s="8" t="s">
        <v>377</v>
      </c>
      <c r="J3" s="8" t="s">
        <v>377</v>
      </c>
      <c r="K3" s="8" t="s">
        <v>377</v>
      </c>
    </row>
    <row r="4" spans="1:11" x14ac:dyDescent="0.25">
      <c r="A4" s="8" t="s">
        <v>377</v>
      </c>
      <c r="B4" s="8" t="s">
        <v>377</v>
      </c>
      <c r="C4" s="8" t="s">
        <v>377</v>
      </c>
      <c r="D4" s="8" t="s">
        <v>377</v>
      </c>
      <c r="E4" s="8" t="s">
        <v>377</v>
      </c>
      <c r="F4" s="8" t="s">
        <v>377</v>
      </c>
      <c r="G4" s="8" t="s">
        <v>377</v>
      </c>
      <c r="H4" s="8" t="s">
        <v>377</v>
      </c>
      <c r="I4" s="8" t="s">
        <v>377</v>
      </c>
      <c r="J4" s="8" t="s">
        <v>377</v>
      </c>
      <c r="K4" s="8" t="s">
        <v>377</v>
      </c>
    </row>
    <row r="5" spans="1:11" x14ac:dyDescent="0.25">
      <c r="A5" s="8" t="s">
        <v>377</v>
      </c>
      <c r="B5" s="8" t="s">
        <v>377</v>
      </c>
      <c r="C5" s="8" t="s">
        <v>377</v>
      </c>
      <c r="D5" s="8" t="s">
        <v>377</v>
      </c>
      <c r="E5" s="8" t="s">
        <v>377</v>
      </c>
      <c r="F5" s="8" t="s">
        <v>377</v>
      </c>
      <c r="G5" s="8" t="s">
        <v>377</v>
      </c>
      <c r="H5" s="8" t="s">
        <v>377</v>
      </c>
      <c r="I5" s="8" t="s">
        <v>377</v>
      </c>
      <c r="J5" s="8" t="s">
        <v>377</v>
      </c>
      <c r="K5" s="8" t="s">
        <v>377</v>
      </c>
    </row>
    <row r="6" spans="1:11" x14ac:dyDescent="0.25">
      <c r="A6" s="8" t="s">
        <v>377</v>
      </c>
      <c r="B6" s="8" t="s">
        <v>377</v>
      </c>
      <c r="C6" s="8" t="s">
        <v>377</v>
      </c>
      <c r="D6" s="8" t="s">
        <v>377</v>
      </c>
      <c r="E6" s="8" t="s">
        <v>377</v>
      </c>
      <c r="F6" s="8" t="s">
        <v>377</v>
      </c>
      <c r="G6" s="8" t="s">
        <v>377</v>
      </c>
      <c r="H6" s="8" t="s">
        <v>377</v>
      </c>
      <c r="I6" s="8" t="s">
        <v>377</v>
      </c>
      <c r="J6" s="8" t="s">
        <v>377</v>
      </c>
      <c r="K6" s="8" t="s">
        <v>377</v>
      </c>
    </row>
    <row r="7" spans="1:11" x14ac:dyDescent="0.25">
      <c r="A7" s="8" t="s">
        <v>377</v>
      </c>
      <c r="B7" s="8" t="s">
        <v>377</v>
      </c>
      <c r="C7" s="8" t="s">
        <v>377</v>
      </c>
      <c r="D7" s="8" t="s">
        <v>377</v>
      </c>
      <c r="E7" s="8" t="s">
        <v>377</v>
      </c>
      <c r="F7" s="8" t="s">
        <v>377</v>
      </c>
      <c r="G7" s="8" t="s">
        <v>377</v>
      </c>
      <c r="H7" s="8" t="s">
        <v>377</v>
      </c>
      <c r="I7" s="8" t="s">
        <v>377</v>
      </c>
      <c r="J7" s="8" t="s">
        <v>377</v>
      </c>
      <c r="K7" s="8" t="s">
        <v>377</v>
      </c>
    </row>
  </sheetData>
  <mergeCells count="1">
    <mergeCell ref="A1:C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20"/>
  <sheetViews>
    <sheetView workbookViewId="0">
      <selection activeCell="E14" sqref="E14"/>
    </sheetView>
  </sheetViews>
  <sheetFormatPr defaultColWidth="8.85546875" defaultRowHeight="15" x14ac:dyDescent="0.25"/>
  <cols>
    <col min="1" max="1" width="36.140625" bestFit="1" customWidth="1"/>
  </cols>
  <sheetData>
    <row r="1" spans="1:2" ht="15.75" thickBot="1" x14ac:dyDescent="0.3">
      <c r="A1" s="11" t="s">
        <v>378</v>
      </c>
      <c r="B1" s="11" t="s">
        <v>379</v>
      </c>
    </row>
    <row r="2" spans="1:2" x14ac:dyDescent="0.25">
      <c r="A2" s="12"/>
      <c r="B2" s="12"/>
    </row>
    <row r="3" spans="1:2" x14ac:dyDescent="0.25">
      <c r="A3" s="12"/>
      <c r="B3" s="12"/>
    </row>
    <row r="4" spans="1:2" x14ac:dyDescent="0.25">
      <c r="A4" s="12"/>
      <c r="B4" s="12"/>
    </row>
    <row r="5" spans="1:2" x14ac:dyDescent="0.25">
      <c r="A5" s="12"/>
      <c r="B5" s="12"/>
    </row>
    <row r="6" spans="1:2" x14ac:dyDescent="0.25">
      <c r="A6" s="12"/>
      <c r="B6" s="12"/>
    </row>
    <row r="7" spans="1:2" x14ac:dyDescent="0.25">
      <c r="A7" s="12"/>
      <c r="B7" s="12"/>
    </row>
    <row r="8" spans="1:2" x14ac:dyDescent="0.25">
      <c r="A8" s="12"/>
      <c r="B8" s="12"/>
    </row>
    <row r="9" spans="1:2" x14ac:dyDescent="0.25">
      <c r="A9" s="12"/>
      <c r="B9" s="12"/>
    </row>
    <row r="10" spans="1:2" x14ac:dyDescent="0.25">
      <c r="A10" s="12"/>
      <c r="B10" s="12"/>
    </row>
    <row r="11" spans="1:2" x14ac:dyDescent="0.25">
      <c r="A11" s="12"/>
      <c r="B11" s="12"/>
    </row>
    <row r="12" spans="1:2" x14ac:dyDescent="0.25">
      <c r="A12" s="12"/>
      <c r="B12" s="12"/>
    </row>
    <row r="13" spans="1:2" x14ac:dyDescent="0.25">
      <c r="A13" s="12"/>
      <c r="B13" s="12"/>
    </row>
    <row r="14" spans="1:2" x14ac:dyDescent="0.25">
      <c r="A14" s="12"/>
      <c r="B14" s="12"/>
    </row>
    <row r="15" spans="1:2" x14ac:dyDescent="0.25">
      <c r="A15" s="12"/>
      <c r="B15" s="12"/>
    </row>
    <row r="16" spans="1:2" x14ac:dyDescent="0.25">
      <c r="A16" s="12"/>
      <c r="B16" s="12"/>
    </row>
    <row r="17" spans="1:2" x14ac:dyDescent="0.25">
      <c r="A17" s="12"/>
      <c r="B17" s="12"/>
    </row>
    <row r="18" spans="1:2" x14ac:dyDescent="0.25">
      <c r="A18" s="12"/>
      <c r="B18" s="12"/>
    </row>
    <row r="19" spans="1:2" x14ac:dyDescent="0.25">
      <c r="A19" s="12"/>
      <c r="B19" s="12"/>
    </row>
    <row r="20" spans="1:2" ht="15.75" thickBot="1" x14ac:dyDescent="0.3">
      <c r="A20" s="13"/>
      <c r="B20" s="13"/>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43"/>
  <sheetViews>
    <sheetView zoomScale="110" zoomScaleNormal="110" workbookViewId="0">
      <selection activeCell="C10" sqref="C10"/>
    </sheetView>
  </sheetViews>
  <sheetFormatPr defaultRowHeight="15" x14ac:dyDescent="0.25"/>
  <cols>
    <col min="1" max="1" width="41.28515625" customWidth="1"/>
    <col min="2" max="2" width="20.28515625" customWidth="1"/>
    <col min="3" max="3" width="93.140625" bestFit="1" customWidth="1"/>
    <col min="4" max="4" width="86.140625" bestFit="1" customWidth="1"/>
  </cols>
  <sheetData>
    <row r="1" spans="1:4" x14ac:dyDescent="0.25">
      <c r="A1" s="59" t="s">
        <v>380</v>
      </c>
      <c r="B1" s="59" t="s">
        <v>381</v>
      </c>
      <c r="C1" s="59" t="s">
        <v>382</v>
      </c>
      <c r="D1" s="59" t="s">
        <v>350</v>
      </c>
    </row>
    <row r="2" spans="1:4" x14ac:dyDescent="0.25">
      <c r="A2" s="155" t="s">
        <v>383</v>
      </c>
      <c r="B2" s="155" t="s">
        <v>384</v>
      </c>
      <c r="C2" s="157" t="s">
        <v>385</v>
      </c>
      <c r="D2" s="61" t="s">
        <v>386</v>
      </c>
    </row>
    <row r="3" spans="1:4" x14ac:dyDescent="0.25">
      <c r="A3" s="156"/>
      <c r="B3" s="156"/>
      <c r="C3" s="158"/>
      <c r="D3" s="61" t="s">
        <v>387</v>
      </c>
    </row>
    <row r="4" spans="1:4" x14ac:dyDescent="0.25">
      <c r="A4" s="155" t="s">
        <v>388</v>
      </c>
      <c r="B4" s="155" t="s">
        <v>389</v>
      </c>
      <c r="C4" s="157" t="s">
        <v>390</v>
      </c>
      <c r="D4" s="61" t="s">
        <v>391</v>
      </c>
    </row>
    <row r="5" spans="1:4" x14ac:dyDescent="0.25">
      <c r="A5" s="156"/>
      <c r="B5" s="156"/>
      <c r="C5" s="158"/>
      <c r="D5" s="61" t="s">
        <v>392</v>
      </c>
    </row>
    <row r="6" spans="1:4" x14ac:dyDescent="0.25">
      <c r="A6" s="60" t="s">
        <v>393</v>
      </c>
      <c r="B6" s="60" t="s">
        <v>394</v>
      </c>
      <c r="C6" s="61" t="s">
        <v>395</v>
      </c>
      <c r="D6" s="61" t="s">
        <v>396</v>
      </c>
    </row>
    <row r="7" spans="1:4" x14ac:dyDescent="0.25">
      <c r="A7" s="60" t="s">
        <v>397</v>
      </c>
      <c r="B7" s="69" t="s">
        <v>398</v>
      </c>
      <c r="C7" s="63" t="s">
        <v>399</v>
      </c>
      <c r="D7" s="61" t="s">
        <v>359</v>
      </c>
    </row>
    <row r="8" spans="1:4" x14ac:dyDescent="0.25">
      <c r="A8" s="64" t="s">
        <v>400</v>
      </c>
      <c r="B8" s="60" t="s">
        <v>401</v>
      </c>
      <c r="C8" s="61" t="s">
        <v>402</v>
      </c>
      <c r="D8" s="61" t="s">
        <v>402</v>
      </c>
    </row>
    <row r="9" spans="1:4" x14ac:dyDescent="0.25">
      <c r="A9" s="64" t="s">
        <v>403</v>
      </c>
      <c r="B9" s="60" t="s">
        <v>404</v>
      </c>
      <c r="C9" s="63" t="s">
        <v>362</v>
      </c>
      <c r="D9" s="61" t="s">
        <v>362</v>
      </c>
    </row>
    <row r="10" spans="1:4" ht="26.25" x14ac:dyDescent="0.25">
      <c r="A10" s="60" t="s">
        <v>405</v>
      </c>
      <c r="B10" s="60" t="s">
        <v>406</v>
      </c>
      <c r="C10" s="64" t="s">
        <v>407</v>
      </c>
      <c r="D10" s="61" t="s">
        <v>408</v>
      </c>
    </row>
    <row r="11" spans="1:4" x14ac:dyDescent="0.25">
      <c r="A11" s="62"/>
      <c r="B11" s="62"/>
      <c r="C11" s="66"/>
      <c r="D11" s="65" t="s">
        <v>402</v>
      </c>
    </row>
    <row r="12" spans="1:4" x14ac:dyDescent="0.25">
      <c r="A12" s="62"/>
      <c r="B12" s="62"/>
      <c r="C12" s="66"/>
      <c r="D12" s="61" t="s">
        <v>362</v>
      </c>
    </row>
    <row r="13" spans="1:4" x14ac:dyDescent="0.25">
      <c r="A13" s="60" t="s">
        <v>409</v>
      </c>
      <c r="B13" s="60" t="s">
        <v>410</v>
      </c>
      <c r="C13" s="67" t="s">
        <v>411</v>
      </c>
      <c r="D13" s="61" t="s">
        <v>412</v>
      </c>
    </row>
    <row r="14" spans="1:4" x14ac:dyDescent="0.25">
      <c r="A14" s="62"/>
      <c r="B14" s="62"/>
      <c r="C14" s="66"/>
      <c r="D14" s="61" t="s">
        <v>413</v>
      </c>
    </row>
    <row r="15" spans="1:4" x14ac:dyDescent="0.25">
      <c r="A15" s="68"/>
      <c r="B15" s="62"/>
      <c r="C15" s="66"/>
      <c r="D15" s="61" t="s">
        <v>414</v>
      </c>
    </row>
    <row r="16" spans="1:4" x14ac:dyDescent="0.25">
      <c r="A16" s="68"/>
      <c r="B16" s="62"/>
      <c r="C16" s="66"/>
      <c r="D16" s="61" t="s">
        <v>415</v>
      </c>
    </row>
    <row r="17" spans="1:4" x14ac:dyDescent="0.25">
      <c r="A17" s="68"/>
      <c r="B17" s="62"/>
      <c r="C17" s="66"/>
      <c r="D17" s="61" t="s">
        <v>416</v>
      </c>
    </row>
    <row r="18" spans="1:4" x14ac:dyDescent="0.25">
      <c r="A18" s="68"/>
      <c r="B18" s="62"/>
      <c r="C18" s="60" t="s">
        <v>417</v>
      </c>
      <c r="D18" s="61" t="s">
        <v>418</v>
      </c>
    </row>
    <row r="19" spans="1:4" x14ac:dyDescent="0.25">
      <c r="A19" s="68"/>
      <c r="B19" s="62"/>
      <c r="C19" s="62"/>
      <c r="D19" s="61" t="s">
        <v>419</v>
      </c>
    </row>
    <row r="20" spans="1:4" x14ac:dyDescent="0.25">
      <c r="A20" s="68"/>
      <c r="B20" s="62"/>
      <c r="C20" s="62"/>
      <c r="D20" s="61" t="s">
        <v>358</v>
      </c>
    </row>
    <row r="21" spans="1:4" x14ac:dyDescent="0.25">
      <c r="A21" s="68"/>
      <c r="B21" s="62"/>
      <c r="C21" s="62" t="s">
        <v>420</v>
      </c>
      <c r="D21" s="61" t="s">
        <v>421</v>
      </c>
    </row>
    <row r="22" spans="1:4" x14ac:dyDescent="0.25">
      <c r="A22" s="68"/>
      <c r="B22" s="62"/>
      <c r="C22" s="62" t="s">
        <v>422</v>
      </c>
      <c r="D22" s="61" t="s">
        <v>423</v>
      </c>
    </row>
    <row r="23" spans="1:4" x14ac:dyDescent="0.25">
      <c r="A23" s="68"/>
      <c r="B23" s="62"/>
      <c r="C23" s="62"/>
      <c r="D23" s="61" t="s">
        <v>424</v>
      </c>
    </row>
    <row r="24" spans="1:4" x14ac:dyDescent="0.25">
      <c r="A24" s="62"/>
      <c r="B24" s="62"/>
      <c r="C24" s="63" t="s">
        <v>425</v>
      </c>
      <c r="D24" s="61" t="s">
        <v>426</v>
      </c>
    </row>
    <row r="25" spans="1:4" x14ac:dyDescent="0.25">
      <c r="A25" s="60" t="s">
        <v>427</v>
      </c>
      <c r="B25" s="60" t="s">
        <v>428</v>
      </c>
      <c r="C25" s="69" t="s">
        <v>429</v>
      </c>
      <c r="D25" s="61" t="s">
        <v>430</v>
      </c>
    </row>
    <row r="26" spans="1:4" x14ac:dyDescent="0.25">
      <c r="A26" s="62"/>
      <c r="B26" s="62"/>
      <c r="C26" s="66"/>
      <c r="D26" s="61" t="s">
        <v>431</v>
      </c>
    </row>
    <row r="27" spans="1:4" x14ac:dyDescent="0.25">
      <c r="A27" s="62"/>
      <c r="B27" s="62"/>
      <c r="C27" s="66"/>
      <c r="D27" s="61" t="s">
        <v>432</v>
      </c>
    </row>
    <row r="28" spans="1:4" x14ac:dyDescent="0.25">
      <c r="A28" s="62"/>
      <c r="B28" s="62"/>
      <c r="C28" s="66"/>
      <c r="D28" s="61" t="s">
        <v>433</v>
      </c>
    </row>
    <row r="29" spans="1:4" x14ac:dyDescent="0.25">
      <c r="A29" s="62"/>
      <c r="B29" s="62"/>
      <c r="C29" s="66"/>
      <c r="D29" s="61" t="s">
        <v>434</v>
      </c>
    </row>
    <row r="30" spans="1:4" x14ac:dyDescent="0.25">
      <c r="A30" s="62"/>
      <c r="B30" s="62"/>
      <c r="C30" s="66"/>
      <c r="D30" s="61" t="s">
        <v>435</v>
      </c>
    </row>
    <row r="31" spans="1:4" x14ac:dyDescent="0.25">
      <c r="A31" s="62"/>
      <c r="B31" s="62"/>
      <c r="C31" s="66"/>
      <c r="D31" s="61" t="s">
        <v>436</v>
      </c>
    </row>
    <row r="32" spans="1:4" x14ac:dyDescent="0.25">
      <c r="A32" s="62"/>
      <c r="B32" s="62"/>
      <c r="C32" s="66"/>
      <c r="D32" s="61" t="s">
        <v>437</v>
      </c>
    </row>
    <row r="33" spans="1:4" x14ac:dyDescent="0.25">
      <c r="A33" s="62"/>
      <c r="B33" s="62"/>
      <c r="C33" s="62" t="s">
        <v>438</v>
      </c>
      <c r="D33" s="61" t="s">
        <v>439</v>
      </c>
    </row>
    <row r="34" spans="1:4" x14ac:dyDescent="0.25">
      <c r="A34" s="62"/>
      <c r="B34" s="62"/>
      <c r="C34" s="62"/>
      <c r="D34" s="61" t="s">
        <v>440</v>
      </c>
    </row>
    <row r="35" spans="1:4" x14ac:dyDescent="0.25">
      <c r="A35" s="62"/>
      <c r="B35" s="62"/>
      <c r="C35" s="62"/>
      <c r="D35" s="61" t="s">
        <v>441</v>
      </c>
    </row>
    <row r="36" spans="1:4" x14ac:dyDescent="0.25">
      <c r="A36" s="62"/>
      <c r="B36" s="62"/>
      <c r="C36" s="62"/>
      <c r="D36" s="61" t="s">
        <v>442</v>
      </c>
    </row>
    <row r="37" spans="1:4" x14ac:dyDescent="0.25">
      <c r="A37" s="70" t="s">
        <v>443</v>
      </c>
      <c r="B37" s="70" t="s">
        <v>444</v>
      </c>
      <c r="C37" s="61" t="s">
        <v>445</v>
      </c>
      <c r="D37" s="61" t="s">
        <v>445</v>
      </c>
    </row>
    <row r="38" spans="1:4" x14ac:dyDescent="0.25">
      <c r="A38" s="149" t="s">
        <v>446</v>
      </c>
      <c r="B38" s="151" t="s">
        <v>447</v>
      </c>
      <c r="C38" s="153" t="s">
        <v>448</v>
      </c>
      <c r="D38" s="65" t="s">
        <v>499</v>
      </c>
    </row>
    <row r="39" spans="1:4" x14ac:dyDescent="0.25">
      <c r="A39" s="150"/>
      <c r="B39" s="152"/>
      <c r="C39" s="154"/>
      <c r="D39" s="61" t="s">
        <v>449</v>
      </c>
    </row>
    <row r="40" spans="1:4" ht="39" x14ac:dyDescent="0.25">
      <c r="A40" s="60" t="s">
        <v>450</v>
      </c>
      <c r="B40" s="71" t="s">
        <v>451</v>
      </c>
      <c r="C40" s="72" t="s">
        <v>500</v>
      </c>
      <c r="D40" s="61"/>
    </row>
    <row r="41" spans="1:4" x14ac:dyDescent="0.25">
      <c r="A41" s="60" t="s">
        <v>452</v>
      </c>
      <c r="B41" s="60" t="s">
        <v>453</v>
      </c>
      <c r="C41" s="60" t="s">
        <v>454</v>
      </c>
      <c r="D41" s="60"/>
    </row>
    <row r="42" spans="1:4" x14ac:dyDescent="0.25">
      <c r="A42" s="60" t="s">
        <v>455</v>
      </c>
      <c r="B42" s="60" t="s">
        <v>456</v>
      </c>
      <c r="C42" s="60" t="s">
        <v>456</v>
      </c>
      <c r="D42" s="60" t="s">
        <v>456</v>
      </c>
    </row>
    <row r="43" spans="1:4" s="114" customFormat="1" x14ac:dyDescent="0.25">
      <c r="A43" s="113" t="s">
        <v>457</v>
      </c>
      <c r="B43" s="113" t="s">
        <v>147</v>
      </c>
      <c r="C43" s="113" t="s">
        <v>458</v>
      </c>
      <c r="D43" s="113"/>
    </row>
  </sheetData>
  <mergeCells count="9">
    <mergeCell ref="A38:A39"/>
    <mergeCell ref="B38:B39"/>
    <mergeCell ref="C38:C39"/>
    <mergeCell ref="A2:A3"/>
    <mergeCell ref="B2:B3"/>
    <mergeCell ref="C2:C3"/>
    <mergeCell ref="A4:A5"/>
    <mergeCell ref="B4:B5"/>
    <mergeCell ref="C4:C5"/>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9"/>
  <sheetViews>
    <sheetView workbookViewId="0">
      <selection activeCell="C22" sqref="C22"/>
    </sheetView>
  </sheetViews>
  <sheetFormatPr defaultRowHeight="15" x14ac:dyDescent="0.25"/>
  <cols>
    <col min="1" max="1" width="15.140625" customWidth="1"/>
    <col min="2" max="2" width="39" customWidth="1"/>
    <col min="3" max="3" width="48" bestFit="1" customWidth="1"/>
    <col min="4" max="4" width="52.5703125" customWidth="1"/>
  </cols>
  <sheetData>
    <row r="1" spans="1:4" x14ac:dyDescent="0.25">
      <c r="A1" s="49" t="s">
        <v>459</v>
      </c>
      <c r="B1" s="49" t="s">
        <v>460</v>
      </c>
      <c r="C1" s="49" t="s">
        <v>461</v>
      </c>
      <c r="D1" s="49" t="s">
        <v>462</v>
      </c>
    </row>
    <row r="2" spans="1:4" x14ac:dyDescent="0.25">
      <c r="A2" s="28">
        <v>7114</v>
      </c>
      <c r="B2" s="28" t="s">
        <v>463</v>
      </c>
      <c r="C2" s="28" t="s">
        <v>463</v>
      </c>
      <c r="D2" s="28" t="s">
        <v>464</v>
      </c>
    </row>
    <row r="3" spans="1:4" x14ac:dyDescent="0.25">
      <c r="A3" s="28">
        <v>2133</v>
      </c>
      <c r="B3" s="53" t="s">
        <v>465</v>
      </c>
      <c r="C3" s="53" t="s">
        <v>465</v>
      </c>
      <c r="D3" s="54"/>
    </row>
    <row r="4" spans="1:4" x14ac:dyDescent="0.25">
      <c r="A4" s="28">
        <v>2152</v>
      </c>
      <c r="B4" s="53" t="s">
        <v>466</v>
      </c>
      <c r="C4" s="53" t="s">
        <v>466</v>
      </c>
      <c r="D4" s="54"/>
    </row>
    <row r="5" spans="1:4" x14ac:dyDescent="0.25">
      <c r="A5" s="28">
        <v>2154</v>
      </c>
      <c r="B5" s="53" t="s">
        <v>467</v>
      </c>
      <c r="C5" s="53" t="s">
        <v>467</v>
      </c>
      <c r="D5" s="54"/>
    </row>
    <row r="6" spans="1:4" x14ac:dyDescent="0.25">
      <c r="A6" s="28">
        <v>2314</v>
      </c>
      <c r="B6" s="53" t="s">
        <v>468</v>
      </c>
      <c r="C6" s="53" t="s">
        <v>468</v>
      </c>
      <c r="D6" s="54"/>
    </row>
    <row r="7" spans="1:4" x14ac:dyDescent="0.25">
      <c r="A7" s="28">
        <v>2375</v>
      </c>
      <c r="B7" s="53" t="s">
        <v>469</v>
      </c>
      <c r="C7" s="53" t="s">
        <v>469</v>
      </c>
      <c r="D7" s="54"/>
    </row>
    <row r="8" spans="1:4" x14ac:dyDescent="0.25">
      <c r="A8" s="28">
        <v>3587</v>
      </c>
      <c r="B8" s="50" t="s">
        <v>470</v>
      </c>
      <c r="C8" s="50" t="s">
        <v>471</v>
      </c>
      <c r="D8" s="50" t="s">
        <v>472</v>
      </c>
    </row>
    <row r="9" spans="1:4" x14ac:dyDescent="0.25">
      <c r="A9" s="28">
        <v>3588</v>
      </c>
      <c r="B9" s="50" t="s">
        <v>473</v>
      </c>
      <c r="C9" s="50" t="s">
        <v>474</v>
      </c>
      <c r="D9" s="50" t="s">
        <v>475</v>
      </c>
    </row>
    <row r="10" spans="1:4" x14ac:dyDescent="0.25">
      <c r="A10" s="28">
        <v>3596</v>
      </c>
      <c r="B10" s="51" t="s">
        <v>476</v>
      </c>
      <c r="C10" s="51" t="s">
        <v>476</v>
      </c>
      <c r="D10" s="51" t="s">
        <v>476</v>
      </c>
    </row>
    <row r="11" spans="1:4" x14ac:dyDescent="0.25">
      <c r="A11" s="28">
        <v>3597</v>
      </c>
      <c r="B11" s="51" t="s">
        <v>477</v>
      </c>
      <c r="C11" s="51" t="s">
        <v>478</v>
      </c>
      <c r="D11" s="51" t="s">
        <v>477</v>
      </c>
    </row>
    <row r="12" spans="1:4" x14ac:dyDescent="0.25">
      <c r="A12" s="28">
        <v>3598</v>
      </c>
      <c r="B12" s="51" t="s">
        <v>479</v>
      </c>
      <c r="C12" s="51" t="s">
        <v>480</v>
      </c>
      <c r="D12" s="51" t="s">
        <v>479</v>
      </c>
    </row>
    <row r="13" spans="1:4" x14ac:dyDescent="0.25">
      <c r="A13" s="28">
        <v>3599</v>
      </c>
      <c r="B13" s="51" t="s">
        <v>481</v>
      </c>
      <c r="C13" s="51" t="s">
        <v>482</v>
      </c>
      <c r="D13" s="51" t="s">
        <v>481</v>
      </c>
    </row>
    <row r="14" spans="1:4" x14ac:dyDescent="0.25">
      <c r="A14" s="28">
        <v>3031</v>
      </c>
      <c r="B14" s="52" t="s">
        <v>483</v>
      </c>
      <c r="C14" s="52" t="s">
        <v>484</v>
      </c>
      <c r="D14" s="52" t="s">
        <v>483</v>
      </c>
    </row>
    <row r="15" spans="1:4" x14ac:dyDescent="0.25">
      <c r="A15" s="28">
        <v>3032</v>
      </c>
      <c r="B15" s="52" t="s">
        <v>485</v>
      </c>
      <c r="C15" s="52" t="s">
        <v>486</v>
      </c>
      <c r="D15" s="52" t="s">
        <v>485</v>
      </c>
    </row>
    <row r="16" spans="1:4" x14ac:dyDescent="0.25">
      <c r="A16" s="28">
        <v>3033</v>
      </c>
      <c r="B16" s="52" t="s">
        <v>487</v>
      </c>
      <c r="C16" s="52" t="s">
        <v>488</v>
      </c>
      <c r="D16" s="52" t="s">
        <v>489</v>
      </c>
    </row>
    <row r="17" spans="1:4" x14ac:dyDescent="0.25">
      <c r="A17" s="28">
        <v>3034</v>
      </c>
      <c r="B17" s="52" t="s">
        <v>490</v>
      </c>
      <c r="C17" s="52" t="s">
        <v>491</v>
      </c>
      <c r="D17" s="52" t="s">
        <v>492</v>
      </c>
    </row>
    <row r="18" spans="1:4" x14ac:dyDescent="0.25">
      <c r="A18" s="28">
        <v>3548</v>
      </c>
      <c r="B18" s="28" t="s">
        <v>493</v>
      </c>
      <c r="C18" s="28" t="s">
        <v>494</v>
      </c>
      <c r="D18" s="28" t="s">
        <v>495</v>
      </c>
    </row>
    <row r="19" spans="1:4" x14ac:dyDescent="0.25">
      <c r="A19" s="28">
        <v>3549</v>
      </c>
      <c r="B19" s="28" t="s">
        <v>496</v>
      </c>
      <c r="C19" s="28" t="s">
        <v>494</v>
      </c>
      <c r="D19" s="28" t="s">
        <v>497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1AED0-228B-4333-9AEB-352D06AE72A6}">
  <dimension ref="A1:E10"/>
  <sheetViews>
    <sheetView workbookViewId="0">
      <selection activeCell="C9" sqref="C9"/>
    </sheetView>
  </sheetViews>
  <sheetFormatPr defaultRowHeight="15" x14ac:dyDescent="0.25"/>
  <cols>
    <col min="1" max="3" width="44" customWidth="1"/>
  </cols>
  <sheetData>
    <row r="1" spans="1:5" x14ac:dyDescent="0.25">
      <c r="A1" s="135" t="s">
        <v>506</v>
      </c>
      <c r="B1" s="136" t="s">
        <v>602</v>
      </c>
      <c r="C1" s="136" t="s">
        <v>603</v>
      </c>
      <c r="D1" s="117"/>
      <c r="E1" s="114"/>
    </row>
    <row r="2" spans="1:5" x14ac:dyDescent="0.25">
      <c r="A2" s="135" t="s">
        <v>604</v>
      </c>
      <c r="B2" s="137"/>
      <c r="C2" s="138"/>
      <c r="D2" s="117"/>
      <c r="E2" s="114"/>
    </row>
    <row r="3" spans="1:5" x14ac:dyDescent="0.25">
      <c r="A3" s="135" t="s">
        <v>605</v>
      </c>
      <c r="B3" s="137" t="s">
        <v>507</v>
      </c>
      <c r="C3" s="137" t="s">
        <v>508</v>
      </c>
      <c r="D3" s="117"/>
      <c r="E3" s="114"/>
    </row>
    <row r="4" spans="1:5" x14ac:dyDescent="0.25">
      <c r="A4" s="135" t="s">
        <v>606</v>
      </c>
      <c r="B4" s="137"/>
      <c r="C4" s="138"/>
      <c r="D4" s="117"/>
      <c r="E4" s="114"/>
    </row>
    <row r="5" spans="1:5" x14ac:dyDescent="0.25">
      <c r="A5" s="118"/>
      <c r="B5" s="117"/>
      <c r="C5" s="117"/>
      <c r="D5" s="117"/>
      <c r="E5" s="114"/>
    </row>
    <row r="6" spans="1:5" x14ac:dyDescent="0.25">
      <c r="A6" s="118"/>
      <c r="B6" s="117"/>
      <c r="C6" s="117"/>
      <c r="D6" s="117"/>
    </row>
    <row r="7" spans="1:5" x14ac:dyDescent="0.25">
      <c r="A7" s="118"/>
      <c r="B7" s="117"/>
      <c r="C7" s="117"/>
      <c r="D7" s="117"/>
    </row>
    <row r="8" spans="1:5" x14ac:dyDescent="0.25">
      <c r="A8" s="117"/>
      <c r="B8" s="117"/>
      <c r="C8" s="117"/>
      <c r="D8" s="117"/>
    </row>
    <row r="9" spans="1:5" x14ac:dyDescent="0.25">
      <c r="A9" s="117"/>
      <c r="B9" s="117"/>
      <c r="C9" s="117"/>
      <c r="D9" s="117"/>
    </row>
    <row r="10" spans="1:5" x14ac:dyDescent="0.25">
      <c r="A10" s="117"/>
      <c r="B10" s="117"/>
      <c r="C10" s="117"/>
      <c r="D10" s="117"/>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437CD-EFAB-4EE4-B447-85564D482CF4}">
  <dimension ref="A1:D11"/>
  <sheetViews>
    <sheetView workbookViewId="0">
      <selection activeCell="D1" sqref="D1"/>
    </sheetView>
  </sheetViews>
  <sheetFormatPr defaultRowHeight="15" x14ac:dyDescent="0.25"/>
  <cols>
    <col min="1" max="5" width="19.7109375" customWidth="1"/>
  </cols>
  <sheetData>
    <row r="1" spans="1:4" x14ac:dyDescent="0.25">
      <c r="A1" s="120" t="s">
        <v>528</v>
      </c>
      <c r="B1" s="120" t="s">
        <v>529</v>
      </c>
      <c r="C1" s="120" t="s">
        <v>530</v>
      </c>
      <c r="D1" s="120" t="s">
        <v>531</v>
      </c>
    </row>
    <row r="2" spans="1:4" x14ac:dyDescent="0.25">
      <c r="A2" s="120">
        <v>2017402</v>
      </c>
      <c r="B2" s="120" t="s">
        <v>511</v>
      </c>
      <c r="C2" s="120" t="s">
        <v>512</v>
      </c>
      <c r="D2" s="120" t="s">
        <v>506</v>
      </c>
    </row>
    <row r="3" spans="1:4" ht="25.5" x14ac:dyDescent="0.25">
      <c r="A3" s="120">
        <v>2017409</v>
      </c>
      <c r="B3" s="120" t="s">
        <v>513</v>
      </c>
      <c r="C3" s="120" t="s">
        <v>514</v>
      </c>
      <c r="D3" s="120" t="s">
        <v>506</v>
      </c>
    </row>
    <row r="4" spans="1:4" x14ac:dyDescent="0.25">
      <c r="A4" s="120" t="s">
        <v>515</v>
      </c>
      <c r="B4" s="120" t="s">
        <v>516</v>
      </c>
      <c r="C4" s="120" t="s">
        <v>512</v>
      </c>
      <c r="D4" s="120" t="s">
        <v>517</v>
      </c>
    </row>
    <row r="5" spans="1:4" x14ac:dyDescent="0.25">
      <c r="A5" s="120" t="s">
        <v>515</v>
      </c>
      <c r="B5" s="120" t="s">
        <v>518</v>
      </c>
      <c r="C5" s="120" t="s">
        <v>512</v>
      </c>
      <c r="D5" s="120" t="s">
        <v>519</v>
      </c>
    </row>
    <row r="6" spans="1:4" ht="25.5" x14ac:dyDescent="0.25">
      <c r="A6" s="120">
        <v>2018409</v>
      </c>
      <c r="B6" s="120" t="s">
        <v>520</v>
      </c>
      <c r="C6" s="120" t="s">
        <v>521</v>
      </c>
      <c r="D6" s="120" t="s">
        <v>506</v>
      </c>
    </row>
    <row r="7" spans="1:4" ht="25.5" x14ac:dyDescent="0.25">
      <c r="A7" s="120">
        <v>2019404</v>
      </c>
      <c r="B7" s="120" t="s">
        <v>513</v>
      </c>
      <c r="C7" s="120" t="s">
        <v>522</v>
      </c>
      <c r="D7" s="120" t="s">
        <v>506</v>
      </c>
    </row>
    <row r="8" spans="1:4" x14ac:dyDescent="0.25">
      <c r="A8" s="120">
        <v>2019415</v>
      </c>
      <c r="B8" s="120" t="s">
        <v>511</v>
      </c>
      <c r="C8" s="120" t="s">
        <v>523</v>
      </c>
      <c r="D8" s="120" t="s">
        <v>506</v>
      </c>
    </row>
    <row r="9" spans="1:4" ht="25.5" x14ac:dyDescent="0.25">
      <c r="A9" s="121" t="s">
        <v>524</v>
      </c>
      <c r="B9" s="121" t="s">
        <v>525</v>
      </c>
      <c r="C9" s="121" t="s">
        <v>526</v>
      </c>
      <c r="D9" s="121" t="s">
        <v>527</v>
      </c>
    </row>
    <row r="10" spans="1:4" x14ac:dyDescent="0.25">
      <c r="A10" s="119"/>
    </row>
    <row r="11" spans="1:4" x14ac:dyDescent="0.25">
      <c r="A11" s="11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7BC1E-37EA-4B94-965B-EE9A0EB60BB0}">
  <dimension ref="A1:B9"/>
  <sheetViews>
    <sheetView workbookViewId="0">
      <selection activeCell="C5" sqref="C5"/>
    </sheetView>
  </sheetViews>
  <sheetFormatPr defaultRowHeight="15" x14ac:dyDescent="0.25"/>
  <cols>
    <col min="1" max="2" width="32.85546875" style="114" customWidth="1"/>
  </cols>
  <sheetData>
    <row r="1" spans="1:2" x14ac:dyDescent="0.25">
      <c r="A1" s="141" t="s">
        <v>592</v>
      </c>
      <c r="B1" s="141" t="s">
        <v>608</v>
      </c>
    </row>
    <row r="2" spans="1:2" ht="21.75" customHeight="1" x14ac:dyDescent="0.25">
      <c r="A2" s="139" t="s">
        <v>593</v>
      </c>
      <c r="B2" s="140" t="s">
        <v>607</v>
      </c>
    </row>
    <row r="3" spans="1:2" ht="21.75" customHeight="1" x14ac:dyDescent="0.25">
      <c r="A3" s="139" t="s">
        <v>594</v>
      </c>
      <c r="B3" s="140" t="s">
        <v>609</v>
      </c>
    </row>
    <row r="4" spans="1:2" ht="21.75" customHeight="1" x14ac:dyDescent="0.25">
      <c r="A4" s="139" t="s">
        <v>595</v>
      </c>
      <c r="B4" s="140" t="s">
        <v>610</v>
      </c>
    </row>
    <row r="5" spans="1:2" ht="21.75" customHeight="1" x14ac:dyDescent="0.25">
      <c r="A5" s="139" t="s">
        <v>596</v>
      </c>
      <c r="B5" s="140" t="s">
        <v>611</v>
      </c>
    </row>
    <row r="6" spans="1:2" ht="21.75" customHeight="1" x14ac:dyDescent="0.25">
      <c r="A6" s="139" t="s">
        <v>597</v>
      </c>
      <c r="B6" s="140" t="s">
        <v>538</v>
      </c>
    </row>
    <row r="7" spans="1:2" ht="21.75" customHeight="1" x14ac:dyDescent="0.25">
      <c r="A7" s="139" t="s">
        <v>598</v>
      </c>
      <c r="B7" s="140" t="s">
        <v>540</v>
      </c>
    </row>
    <row r="8" spans="1:2" ht="21.75" customHeight="1" x14ac:dyDescent="0.25">
      <c r="A8" s="139" t="s">
        <v>599</v>
      </c>
      <c r="B8" s="140" t="s">
        <v>542</v>
      </c>
    </row>
    <row r="9" spans="1:2" ht="21.75" customHeight="1" x14ac:dyDescent="0.25">
      <c r="A9" s="139" t="s">
        <v>600</v>
      </c>
      <c r="B9" s="140" t="s">
        <v>544</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4B964-EA18-49AB-A171-96DB177FAC3D}">
  <dimension ref="A1:O25"/>
  <sheetViews>
    <sheetView workbookViewId="0">
      <selection activeCell="N11" sqref="N11"/>
    </sheetView>
  </sheetViews>
  <sheetFormatPr defaultRowHeight="15" x14ac:dyDescent="0.25"/>
  <cols>
    <col min="1" max="1" width="10.85546875" style="122" bestFit="1" customWidth="1"/>
    <col min="2" max="2" width="5.42578125" style="122" bestFit="1" customWidth="1"/>
    <col min="3" max="3" width="5.140625" style="122" bestFit="1" customWidth="1"/>
    <col min="4" max="4" width="5.85546875" style="122" bestFit="1" customWidth="1"/>
    <col min="5" max="5" width="6.28515625" style="122" bestFit="1" customWidth="1"/>
    <col min="6" max="6" width="7.5703125" style="122" bestFit="1" customWidth="1"/>
    <col min="7" max="7" width="7.42578125" style="122" bestFit="1" customWidth="1"/>
    <col min="8" max="9" width="8.7109375" style="122" bestFit="1" customWidth="1"/>
    <col min="10" max="10" width="6.5703125" style="122" bestFit="1" customWidth="1"/>
    <col min="11" max="12" width="5" style="122" bestFit="1" customWidth="1"/>
    <col min="13" max="13" width="6.42578125" style="122" bestFit="1" customWidth="1"/>
    <col min="14" max="14" width="10.7109375" style="122" bestFit="1" customWidth="1"/>
    <col min="15" max="15" width="6.85546875" style="122" bestFit="1" customWidth="1"/>
    <col min="16" max="16384" width="9.140625" style="122"/>
  </cols>
  <sheetData>
    <row r="1" spans="1:15" ht="60" x14ac:dyDescent="0.25">
      <c r="A1" s="126" t="s">
        <v>612</v>
      </c>
      <c r="B1" s="126" t="s">
        <v>613</v>
      </c>
      <c r="C1" s="126" t="s">
        <v>545</v>
      </c>
      <c r="D1" s="126" t="s">
        <v>614</v>
      </c>
      <c r="E1" s="126" t="s">
        <v>254</v>
      </c>
      <c r="F1" s="126" t="s">
        <v>546</v>
      </c>
      <c r="G1" s="126" t="s">
        <v>615</v>
      </c>
      <c r="H1" s="126" t="s">
        <v>616</v>
      </c>
      <c r="I1" s="126" t="s">
        <v>617</v>
      </c>
      <c r="J1" s="126" t="s">
        <v>618</v>
      </c>
      <c r="K1" s="126" t="s">
        <v>619</v>
      </c>
      <c r="L1" s="126" t="s">
        <v>620</v>
      </c>
      <c r="M1" s="126" t="s">
        <v>621</v>
      </c>
      <c r="N1" s="142" t="s">
        <v>547</v>
      </c>
      <c r="O1" s="126" t="s">
        <v>622</v>
      </c>
    </row>
    <row r="2" spans="1:15" ht="75" x14ac:dyDescent="0.25">
      <c r="A2" s="127" t="s">
        <v>548</v>
      </c>
      <c r="B2" s="128" t="s">
        <v>537</v>
      </c>
      <c r="C2" s="127" t="s">
        <v>549</v>
      </c>
      <c r="D2" s="126" t="s">
        <v>550</v>
      </c>
      <c r="E2" s="127"/>
      <c r="F2" s="127"/>
      <c r="G2" s="127"/>
      <c r="H2" s="127"/>
      <c r="I2" s="127"/>
      <c r="J2" s="127"/>
      <c r="K2" s="127"/>
      <c r="L2" s="127"/>
      <c r="M2" s="127" t="s">
        <v>551</v>
      </c>
      <c r="N2" s="126" t="s">
        <v>552</v>
      </c>
      <c r="O2" s="127" t="s">
        <v>553</v>
      </c>
    </row>
    <row r="3" spans="1:15" x14ac:dyDescent="0.25">
      <c r="A3" s="127" t="s">
        <v>554</v>
      </c>
      <c r="B3" s="128" t="s">
        <v>539</v>
      </c>
      <c r="C3" s="127" t="s">
        <v>549</v>
      </c>
      <c r="D3" s="126" t="s">
        <v>550</v>
      </c>
      <c r="E3" s="127"/>
      <c r="F3" s="127"/>
      <c r="G3" s="127"/>
      <c r="H3" s="127"/>
      <c r="I3" s="127"/>
      <c r="J3" s="127"/>
      <c r="K3" s="127"/>
      <c r="L3" s="127"/>
      <c r="M3" s="127"/>
      <c r="N3" s="127"/>
      <c r="O3" s="127"/>
    </row>
    <row r="4" spans="1:15" ht="30" x14ac:dyDescent="0.25">
      <c r="A4" s="127" t="s">
        <v>555</v>
      </c>
      <c r="B4" s="128" t="s">
        <v>539</v>
      </c>
      <c r="C4" s="127" t="s">
        <v>549</v>
      </c>
      <c r="D4" s="126" t="s">
        <v>550</v>
      </c>
      <c r="E4" s="127"/>
      <c r="F4" s="127"/>
      <c r="G4" s="127"/>
      <c r="H4" s="127" t="s">
        <v>551</v>
      </c>
      <c r="I4" s="127"/>
      <c r="J4" s="127"/>
      <c r="K4" s="127"/>
      <c r="L4" s="127"/>
      <c r="M4" s="127"/>
      <c r="N4" s="126" t="s">
        <v>556</v>
      </c>
      <c r="O4" s="127" t="s">
        <v>557</v>
      </c>
    </row>
    <row r="5" spans="1:15" ht="90" x14ac:dyDescent="0.25">
      <c r="A5" s="127" t="s">
        <v>558</v>
      </c>
      <c r="B5" s="128" t="s">
        <v>539</v>
      </c>
      <c r="C5" s="127" t="s">
        <v>549</v>
      </c>
      <c r="D5" s="129" t="s">
        <v>559</v>
      </c>
      <c r="E5" s="127"/>
      <c r="F5" s="127"/>
      <c r="G5" s="127"/>
      <c r="H5" s="127"/>
      <c r="I5" s="127"/>
      <c r="J5" s="127"/>
      <c r="K5" s="127"/>
      <c r="L5" s="127"/>
      <c r="M5" s="127"/>
      <c r="N5" s="126" t="s">
        <v>560</v>
      </c>
      <c r="O5" s="127">
        <v>3</v>
      </c>
    </row>
    <row r="6" spans="1:15" ht="30" x14ac:dyDescent="0.25">
      <c r="A6" s="127" t="s">
        <v>561</v>
      </c>
      <c r="B6" s="128" t="s">
        <v>539</v>
      </c>
      <c r="C6" s="127" t="s">
        <v>549</v>
      </c>
      <c r="D6" s="127" t="s">
        <v>550</v>
      </c>
      <c r="E6" s="127"/>
      <c r="F6" s="127"/>
      <c r="G6" s="127" t="s">
        <v>551</v>
      </c>
      <c r="H6" s="127"/>
      <c r="I6" s="127"/>
      <c r="J6" s="127"/>
      <c r="K6" s="127"/>
      <c r="L6" s="127"/>
      <c r="M6" s="127"/>
      <c r="N6" s="126" t="s">
        <v>562</v>
      </c>
      <c r="O6" s="127" t="s">
        <v>553</v>
      </c>
    </row>
    <row r="7" spans="1:15" x14ac:dyDescent="0.25">
      <c r="A7" s="127" t="s">
        <v>563</v>
      </c>
      <c r="B7" s="128" t="s">
        <v>539</v>
      </c>
      <c r="C7" s="127" t="s">
        <v>564</v>
      </c>
      <c r="D7" s="126" t="s">
        <v>550</v>
      </c>
      <c r="E7" s="127"/>
      <c r="F7" s="127"/>
      <c r="G7" s="127"/>
      <c r="H7" s="127"/>
      <c r="I7" s="127" t="s">
        <v>565</v>
      </c>
      <c r="J7" s="127"/>
      <c r="K7" s="127"/>
      <c r="L7" s="127"/>
      <c r="M7" s="127"/>
      <c r="N7" s="127"/>
      <c r="O7" s="127" t="s">
        <v>566</v>
      </c>
    </row>
    <row r="8" spans="1:15" ht="15.75" x14ac:dyDescent="0.25">
      <c r="A8" s="127" t="s">
        <v>567</v>
      </c>
      <c r="B8" s="128" t="s">
        <v>539</v>
      </c>
      <c r="C8" s="127" t="s">
        <v>564</v>
      </c>
      <c r="D8" s="130" t="s">
        <v>568</v>
      </c>
      <c r="E8" s="124"/>
      <c r="F8" s="127" t="s">
        <v>569</v>
      </c>
      <c r="G8" s="124"/>
      <c r="H8" s="124"/>
      <c r="I8" s="124"/>
      <c r="J8" s="124"/>
      <c r="K8" s="124"/>
      <c r="L8" s="124"/>
      <c r="M8" s="124"/>
      <c r="N8" s="124"/>
      <c r="O8" s="127">
        <v>0</v>
      </c>
    </row>
    <row r="9" spans="1:15" ht="15.75" x14ac:dyDescent="0.25">
      <c r="A9" s="127" t="s">
        <v>570</v>
      </c>
      <c r="B9" s="128" t="s">
        <v>539</v>
      </c>
      <c r="C9" s="127" t="s">
        <v>564</v>
      </c>
      <c r="D9" s="130" t="s">
        <v>568</v>
      </c>
      <c r="E9" s="124"/>
      <c r="F9" s="124"/>
      <c r="G9" s="124"/>
      <c r="H9" s="124"/>
      <c r="I9" s="124"/>
      <c r="J9" s="124"/>
      <c r="K9" s="127" t="s">
        <v>551</v>
      </c>
      <c r="L9" s="127" t="s">
        <v>551</v>
      </c>
      <c r="M9" s="124"/>
      <c r="N9" s="124"/>
      <c r="O9" s="127">
        <v>0</v>
      </c>
    </row>
    <row r="10" spans="1:15" ht="15.75" x14ac:dyDescent="0.25">
      <c r="A10" s="127" t="s">
        <v>571</v>
      </c>
      <c r="B10" s="128" t="s">
        <v>539</v>
      </c>
      <c r="C10" s="127" t="s">
        <v>564</v>
      </c>
      <c r="D10" s="130" t="s">
        <v>568</v>
      </c>
      <c r="E10" s="127" t="s">
        <v>551</v>
      </c>
      <c r="F10" s="124"/>
      <c r="G10" s="124"/>
      <c r="H10" s="124"/>
      <c r="I10" s="124"/>
      <c r="J10" s="124"/>
      <c r="K10" s="124"/>
      <c r="L10" s="124"/>
      <c r="M10" s="124"/>
      <c r="N10" s="124"/>
      <c r="O10" s="127">
        <v>0</v>
      </c>
    </row>
    <row r="11" spans="1:15" ht="89.25" customHeight="1" x14ac:dyDescent="0.25">
      <c r="A11" s="127" t="s">
        <v>572</v>
      </c>
      <c r="B11" s="128" t="s">
        <v>539</v>
      </c>
      <c r="C11" s="127" t="s">
        <v>564</v>
      </c>
      <c r="D11" s="130" t="s">
        <v>568</v>
      </c>
      <c r="E11" s="124"/>
      <c r="F11" s="124"/>
      <c r="G11" s="124"/>
      <c r="H11" s="124"/>
      <c r="I11" s="124"/>
      <c r="J11" s="127" t="s">
        <v>551</v>
      </c>
      <c r="K11" s="124"/>
      <c r="L11" s="124"/>
      <c r="M11" s="124"/>
      <c r="N11" s="142" t="s">
        <v>573</v>
      </c>
      <c r="O11" s="127" t="s">
        <v>566</v>
      </c>
    </row>
    <row r="12" spans="1:15" ht="15" customHeight="1" x14ac:dyDescent="0.25">
      <c r="A12" s="127" t="s">
        <v>574</v>
      </c>
      <c r="B12" s="128" t="s">
        <v>539</v>
      </c>
      <c r="C12" s="127" t="s">
        <v>564</v>
      </c>
      <c r="D12" s="126" t="s">
        <v>550</v>
      </c>
      <c r="E12" s="124"/>
      <c r="F12" s="124"/>
      <c r="G12" s="124"/>
      <c r="H12" s="124"/>
      <c r="I12" s="124"/>
      <c r="J12" s="124"/>
      <c r="K12" s="124"/>
      <c r="L12" s="124"/>
      <c r="M12" s="124"/>
      <c r="N12" s="127"/>
      <c r="O12" s="124"/>
    </row>
    <row r="13" spans="1:15" ht="26.25" x14ac:dyDescent="0.25">
      <c r="A13" s="127" t="s">
        <v>575</v>
      </c>
      <c r="B13" s="128" t="s">
        <v>539</v>
      </c>
      <c r="C13" s="127" t="s">
        <v>549</v>
      </c>
      <c r="D13" s="126" t="s">
        <v>550</v>
      </c>
      <c r="E13" s="127"/>
      <c r="F13" s="127"/>
      <c r="G13" s="127"/>
      <c r="H13" s="127"/>
      <c r="I13" s="127"/>
      <c r="J13" s="127"/>
      <c r="K13" s="127"/>
      <c r="L13" s="127"/>
      <c r="M13" s="127"/>
      <c r="N13" s="131"/>
      <c r="O13" s="127"/>
    </row>
    <row r="14" spans="1:15" ht="75" x14ac:dyDescent="0.25">
      <c r="A14" s="127" t="s">
        <v>576</v>
      </c>
      <c r="B14" s="128" t="s">
        <v>541</v>
      </c>
      <c r="C14" s="127" t="s">
        <v>549</v>
      </c>
      <c r="D14" s="126" t="s">
        <v>550</v>
      </c>
      <c r="E14" s="124"/>
      <c r="F14" s="124"/>
      <c r="G14" s="124"/>
      <c r="H14" s="124"/>
      <c r="I14" s="124"/>
      <c r="J14" s="124"/>
      <c r="K14" s="124"/>
      <c r="L14" s="124"/>
      <c r="M14" s="127" t="s">
        <v>551</v>
      </c>
      <c r="N14" s="126" t="s">
        <v>577</v>
      </c>
      <c r="O14" s="127" t="s">
        <v>553</v>
      </c>
    </row>
    <row r="15" spans="1:15" x14ac:dyDescent="0.25">
      <c r="A15" s="127" t="s">
        <v>578</v>
      </c>
      <c r="B15" s="128" t="s">
        <v>543</v>
      </c>
      <c r="C15" s="127" t="s">
        <v>549</v>
      </c>
      <c r="D15" s="126" t="s">
        <v>550</v>
      </c>
      <c r="E15" s="124"/>
      <c r="F15" s="124"/>
      <c r="G15" s="124"/>
      <c r="H15" s="124"/>
      <c r="I15" s="127" t="s">
        <v>565</v>
      </c>
      <c r="J15" s="124"/>
      <c r="K15" s="124"/>
      <c r="L15" s="124"/>
      <c r="M15" s="124"/>
      <c r="N15" s="124"/>
      <c r="O15" s="127" t="s">
        <v>566</v>
      </c>
    </row>
    <row r="16" spans="1:15" ht="30" x14ac:dyDescent="0.25">
      <c r="A16" s="127" t="s">
        <v>579</v>
      </c>
      <c r="B16" s="128" t="s">
        <v>543</v>
      </c>
      <c r="C16" s="127" t="s">
        <v>549</v>
      </c>
      <c r="D16" s="126" t="s">
        <v>550</v>
      </c>
      <c r="E16" s="124"/>
      <c r="F16" s="124"/>
      <c r="G16" s="127" t="s">
        <v>551</v>
      </c>
      <c r="H16" s="124"/>
      <c r="I16" s="124"/>
      <c r="J16" s="124"/>
      <c r="K16" s="124"/>
      <c r="L16" s="124"/>
      <c r="M16" s="124"/>
      <c r="N16" s="126" t="s">
        <v>562</v>
      </c>
      <c r="O16" s="127" t="s">
        <v>553</v>
      </c>
    </row>
    <row r="17" spans="1:15" ht="90" x14ac:dyDescent="0.25">
      <c r="A17" s="127" t="s">
        <v>580</v>
      </c>
      <c r="B17" s="128" t="s">
        <v>543</v>
      </c>
      <c r="C17" s="127" t="s">
        <v>549</v>
      </c>
      <c r="D17" s="129" t="s">
        <v>559</v>
      </c>
      <c r="E17" s="124"/>
      <c r="F17" s="124"/>
      <c r="G17" s="124"/>
      <c r="H17" s="124"/>
      <c r="I17" s="124"/>
      <c r="J17" s="124"/>
      <c r="K17" s="124"/>
      <c r="L17" s="124"/>
      <c r="M17" s="124"/>
      <c r="N17" s="126" t="s">
        <v>560</v>
      </c>
      <c r="O17" s="127">
        <v>3</v>
      </c>
    </row>
    <row r="18" spans="1:15" ht="30" x14ac:dyDescent="0.25">
      <c r="A18" s="127" t="s">
        <v>581</v>
      </c>
      <c r="B18" s="128" t="s">
        <v>543</v>
      </c>
      <c r="C18" s="127" t="s">
        <v>549</v>
      </c>
      <c r="D18" s="126" t="s">
        <v>550</v>
      </c>
      <c r="E18" s="124"/>
      <c r="F18" s="124"/>
      <c r="G18" s="124"/>
      <c r="H18" s="127" t="s">
        <v>551</v>
      </c>
      <c r="I18" s="124"/>
      <c r="J18" s="124"/>
      <c r="K18" s="124"/>
      <c r="L18" s="124"/>
      <c r="M18" s="124"/>
      <c r="N18" s="126" t="s">
        <v>556</v>
      </c>
      <c r="O18" s="127" t="s">
        <v>557</v>
      </c>
    </row>
    <row r="19" spans="1:15" ht="15.75" x14ac:dyDescent="0.25">
      <c r="A19" s="127" t="s">
        <v>582</v>
      </c>
      <c r="B19" s="128" t="s">
        <v>543</v>
      </c>
      <c r="C19" s="127" t="s">
        <v>564</v>
      </c>
      <c r="D19" s="130" t="s">
        <v>568</v>
      </c>
      <c r="E19" s="124"/>
      <c r="F19" s="127" t="s">
        <v>583</v>
      </c>
      <c r="G19" s="124"/>
      <c r="H19" s="124"/>
      <c r="I19" s="124"/>
      <c r="J19" s="124"/>
      <c r="K19" s="124"/>
      <c r="L19" s="124"/>
      <c r="M19" s="124"/>
      <c r="N19" s="124"/>
      <c r="O19" s="127">
        <v>0</v>
      </c>
    </row>
    <row r="20" spans="1:15" ht="15.75" x14ac:dyDescent="0.25">
      <c r="A20" s="127" t="s">
        <v>584</v>
      </c>
      <c r="B20" s="128" t="s">
        <v>543</v>
      </c>
      <c r="C20" s="127" t="s">
        <v>564</v>
      </c>
      <c r="D20" s="130" t="s">
        <v>568</v>
      </c>
      <c r="E20" s="124"/>
      <c r="F20" s="124"/>
      <c r="G20" s="124"/>
      <c r="H20" s="124"/>
      <c r="I20" s="124"/>
      <c r="J20" s="124"/>
      <c r="K20" s="127" t="s">
        <v>551</v>
      </c>
      <c r="L20" s="127" t="s">
        <v>551</v>
      </c>
      <c r="M20" s="124"/>
      <c r="N20" s="124"/>
      <c r="O20" s="127">
        <v>0</v>
      </c>
    </row>
    <row r="21" spans="1:15" ht="15.75" x14ac:dyDescent="0.25">
      <c r="A21" s="127" t="s">
        <v>585</v>
      </c>
      <c r="B21" s="128" t="s">
        <v>543</v>
      </c>
      <c r="C21" s="127" t="s">
        <v>564</v>
      </c>
      <c r="D21" s="130" t="s">
        <v>568</v>
      </c>
      <c r="E21" s="127" t="s">
        <v>551</v>
      </c>
      <c r="F21" s="124"/>
      <c r="G21" s="124"/>
      <c r="H21" s="124"/>
      <c r="I21" s="124"/>
      <c r="J21" s="124"/>
      <c r="K21" s="124"/>
      <c r="L21" s="124"/>
      <c r="M21" s="124"/>
      <c r="N21" s="124"/>
      <c r="O21" s="127">
        <v>0</v>
      </c>
    </row>
    <row r="22" spans="1:15" ht="15.75" x14ac:dyDescent="0.25">
      <c r="A22" s="127" t="s">
        <v>586</v>
      </c>
      <c r="B22" s="128" t="s">
        <v>543</v>
      </c>
      <c r="C22" s="127" t="s">
        <v>564</v>
      </c>
      <c r="D22" s="130" t="s">
        <v>568</v>
      </c>
      <c r="E22" s="124"/>
      <c r="F22" s="124"/>
      <c r="G22" s="124"/>
      <c r="H22" s="124"/>
      <c r="I22" s="124"/>
      <c r="J22" s="127" t="s">
        <v>551</v>
      </c>
      <c r="K22" s="124"/>
      <c r="L22" s="124"/>
      <c r="M22" s="124"/>
      <c r="N22" s="124"/>
      <c r="O22" s="127" t="s">
        <v>566</v>
      </c>
    </row>
    <row r="23" spans="1:15" x14ac:dyDescent="0.25">
      <c r="A23" s="127" t="s">
        <v>587</v>
      </c>
      <c r="B23" s="128" t="s">
        <v>543</v>
      </c>
      <c r="C23" s="127" t="s">
        <v>564</v>
      </c>
      <c r="D23" s="126" t="s">
        <v>550</v>
      </c>
      <c r="E23" s="124"/>
      <c r="F23" s="124"/>
      <c r="G23" s="124"/>
      <c r="H23" s="124"/>
      <c r="I23" s="124"/>
      <c r="J23" s="124"/>
      <c r="K23" s="124"/>
      <c r="L23" s="124"/>
      <c r="M23" s="124"/>
      <c r="N23" s="124"/>
      <c r="O23" s="124"/>
    </row>
    <row r="24" spans="1:15" ht="15.75" thickBot="1" x14ac:dyDescent="0.3">
      <c r="A24" s="132" t="s">
        <v>588</v>
      </c>
      <c r="B24" s="133" t="s">
        <v>543</v>
      </c>
      <c r="C24" s="132" t="s">
        <v>549</v>
      </c>
      <c r="D24" s="134" t="s">
        <v>550</v>
      </c>
      <c r="E24" s="125"/>
      <c r="F24" s="125"/>
      <c r="G24" s="125"/>
      <c r="H24" s="125"/>
      <c r="I24" s="125"/>
      <c r="J24" s="125"/>
      <c r="K24" s="125"/>
      <c r="L24" s="125"/>
      <c r="M24" s="125"/>
      <c r="N24" s="125"/>
      <c r="O24" s="125"/>
    </row>
    <row r="25" spans="1:15" x14ac:dyDescent="0.25">
      <c r="D25" s="1" t="s">
        <v>589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schemas.microsoft.com/office/infopath/2007/PartnerControls"/>
    <ds:schemaRef ds:uri="c01e712b-8f9b-4625-8219-31b20605feb3"/>
    <ds:schemaRef ds:uri="2b166a80-dccc-42cc-be33-87bca7e0d87c"/>
  </ds:schemaRefs>
</ds:datastoreItem>
</file>

<file path=customXml/itemProps3.xml><?xml version="1.0" encoding="utf-8"?>
<ds:datastoreItem xmlns:ds="http://schemas.openxmlformats.org/officeDocument/2006/customXml" ds:itemID="{B2D74B64-341F-43D9-BDC9-C08F7FA303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tab_captions</vt:lpstr>
      <vt:lpstr>fig_captions</vt:lpstr>
      <vt:lpstr>surveyplantab</vt:lpstr>
      <vt:lpstr>reqparttab</vt:lpstr>
      <vt:lpstr>plannedparticipantstab</vt:lpstr>
      <vt:lpstr>sciencethemestab</vt:lpstr>
      <vt:lpstr>equipmenttab</vt:lpstr>
      <vt:lpstr>datahandovertab</vt:lpstr>
      <vt:lpstr>collectedsamplesnamtab</vt:lpstr>
      <vt:lpstr>collectedsamplesangtab</vt:lpstr>
      <vt:lpstr>matstagetab</vt:lpstr>
      <vt:lpstr>biosamplingtab</vt:lpstr>
      <vt:lpstr>additionalsamplingtab</vt:lpstr>
      <vt:lpstr>taxonomytab</vt:lpstr>
      <vt:lpstr>acousticcategorytab</vt:lpstr>
      <vt:lpstr>gearcodestab</vt:lpstr>
      <vt:lpstr>mesopelagictransecttab</vt:lpstr>
      <vt:lpstr>mesopelagicsurveystab</vt:lpstr>
      <vt:lpstr>mesodieltab</vt:lpstr>
      <vt:lpstr>mesosamplingtab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2022-06-09T07:47:25Z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